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rketing_SSD/Websites 2025/Rail_2025_deploy/"/>
    </mc:Choice>
  </mc:AlternateContent>
  <xr:revisionPtr revIDLastSave="0" documentId="8_{A82A398B-846C-1640-A238-67F188AAEBBB}" xr6:coauthVersionLast="47" xr6:coauthVersionMax="47" xr10:uidLastSave="{00000000-0000-0000-0000-000000000000}"/>
  <bookViews>
    <workbookView xWindow="0" yWindow="760" windowWidth="34560" windowHeight="20020" autoFilterDateGrouping="0" xr2:uid="{00000000-000D-0000-FFFF-FFFF00000000}"/>
  </bookViews>
  <sheets>
    <sheet name="Order Summary" sheetId="1" r:id="rId1"/>
    <sheet name="Quote" sheetId="3" r:id="rId2"/>
    <sheet name="PRICE LIST" sheetId="4" r:id="rId3"/>
    <sheet name="Lis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 s="1"/>
  <c r="D1" i="3"/>
  <c r="CS7" i="1"/>
  <c r="CO7" i="1"/>
  <c r="B26" i="3" s="1"/>
  <c r="C26" i="3" s="1"/>
  <c r="CK7" i="1"/>
  <c r="B25" i="3" s="1"/>
  <c r="C25" i="3" s="1"/>
  <c r="CG7" i="1"/>
  <c r="B24" i="3" s="1"/>
  <c r="CC7" i="1"/>
  <c r="B23" i="3" s="1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BQ7" i="1"/>
  <c r="BU7" i="1" s="1"/>
  <c r="BW7" i="1" s="1"/>
  <c r="BD7" i="1"/>
  <c r="BE7" i="1" s="1"/>
  <c r="AZ7" i="1"/>
  <c r="B15" i="3" s="1"/>
  <c r="D7" i="1"/>
  <c r="BY7" i="1" s="1" a="1"/>
  <c r="BY7" i="1" s="1"/>
  <c r="CA7" i="1" s="1"/>
  <c r="F9" i="3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3" i="2"/>
  <c r="AH7" i="1"/>
  <c r="F8" i="3"/>
  <c r="F7" i="3"/>
  <c r="D9" i="3"/>
  <c r="D8" i="3"/>
  <c r="D7" i="3"/>
  <c r="B9" i="3"/>
  <c r="B8" i="3"/>
  <c r="B7" i="3"/>
  <c r="C5" i="3"/>
  <c r="AQ7" i="1"/>
  <c r="BV7" i="1" l="1"/>
  <c r="BR7" i="1" s="1"/>
  <c r="BS7" i="1"/>
  <c r="BB7" i="1"/>
  <c r="E15" i="3" s="1"/>
  <c r="CE7" i="1"/>
  <c r="CM7" i="1"/>
  <c r="BF7" i="1"/>
  <c r="CI7" i="1"/>
  <c r="CQ7" i="1"/>
  <c r="D24" i="3"/>
  <c r="F24" i="3" s="1"/>
  <c r="C24" i="3"/>
  <c r="C23" i="3"/>
  <c r="CD7" i="1"/>
  <c r="D23" i="3" s="1"/>
  <c r="F23" i="3" s="1"/>
  <c r="CH7" i="1"/>
  <c r="CL7" i="1"/>
  <c r="D25" i="3" s="1"/>
  <c r="F25" i="3" s="1"/>
  <c r="CP7" i="1"/>
  <c r="D26" i="3" s="1"/>
  <c r="F26" i="3" s="1"/>
  <c r="BZ7" i="1"/>
  <c r="B22" i="3"/>
  <c r="AS7" i="1"/>
  <c r="B20" i="3"/>
  <c r="B19" i="3"/>
  <c r="C15" i="3"/>
  <c r="AA7" i="1"/>
  <c r="Y7" i="1"/>
  <c r="W7" i="1"/>
  <c r="AV7" i="1"/>
  <c r="BL7" i="1"/>
  <c r="BN7" i="1" s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7" i="2"/>
  <c r="L8" i="2"/>
  <c r="L6" i="2"/>
  <c r="BH7" i="1"/>
  <c r="BI7" i="1" l="1"/>
  <c r="B17" i="3" s="1"/>
  <c r="BJ7" i="1"/>
  <c r="C14" i="3"/>
  <c r="A14" i="3" s="1"/>
  <c r="AX7" i="1"/>
  <c r="E19" i="3"/>
  <c r="C20" i="3"/>
  <c r="E20" i="3"/>
  <c r="D22" i="3"/>
  <c r="F22" i="3" s="1"/>
  <c r="C22" i="3"/>
  <c r="C19" i="3"/>
  <c r="BM7" i="1"/>
  <c r="B18" i="3" s="1"/>
  <c r="D18" i="3" s="1"/>
  <c r="B16" i="3"/>
  <c r="BA7" i="1"/>
  <c r="AL7" i="1"/>
  <c r="AI7" i="1"/>
  <c r="AG7" i="1"/>
  <c r="AF7" i="1"/>
  <c r="AE7" i="1"/>
  <c r="X7" i="1"/>
  <c r="Z7" i="1"/>
  <c r="AB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B14" i="3" l="1"/>
  <c r="B21" i="3" s="1"/>
  <c r="E21" i="3" s="1"/>
  <c r="AM7" i="1"/>
  <c r="AR7" i="1"/>
  <c r="E17" i="3"/>
  <c r="D17" i="3"/>
  <c r="C17" i="3"/>
  <c r="C16" i="3"/>
  <c r="E16" i="3"/>
  <c r="C18" i="3"/>
  <c r="E18" i="3"/>
  <c r="R7" i="1"/>
  <c r="S7" i="1" s="1"/>
  <c r="F18" i="3"/>
  <c r="AJ7" i="1"/>
  <c r="A6" i="3" s="1"/>
  <c r="BC7" i="1"/>
  <c r="D15" i="3"/>
  <c r="F15" i="3" s="1"/>
  <c r="D16" i="3"/>
  <c r="AN7" i="1"/>
  <c r="D21" i="3" l="1"/>
  <c r="F21" i="3" s="1"/>
  <c r="E14" i="3"/>
  <c r="C21" i="3"/>
  <c r="F17" i="3"/>
  <c r="F16" i="3"/>
  <c r="C12" i="3"/>
  <c r="B12" i="3" s="1"/>
  <c r="AO7" i="1"/>
  <c r="E12" i="3" s="1"/>
  <c r="C13" i="3"/>
  <c r="A13" i="3" s="1"/>
  <c r="AT7" i="1"/>
  <c r="AW7" i="1"/>
  <c r="D14" i="3" s="1"/>
  <c r="F14" i="3" s="1"/>
  <c r="D20" i="3"/>
  <c r="F20" i="3" s="1"/>
  <c r="D12" i="3" l="1"/>
  <c r="F12" i="3" s="1"/>
  <c r="A12" i="3"/>
  <c r="D13" i="3"/>
  <c r="E13" i="3" s="1"/>
  <c r="F13" i="3" s="1"/>
  <c r="B13" i="3"/>
  <c r="D19" i="3"/>
  <c r="F19" i="3" s="1"/>
  <c r="E28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<sst xmlns="http://schemas.openxmlformats.org/spreadsheetml/2006/main" count="465" uniqueCount="380">
  <si>
    <t>Customer:</t>
  </si>
  <si>
    <t>Enquiry Name</t>
  </si>
  <si>
    <t>Date:</t>
  </si>
  <si>
    <t>Crossing Name</t>
  </si>
  <si>
    <t>Design Length</t>
  </si>
  <si>
    <t>RHR Length</t>
  </si>
  <si>
    <t>Rail</t>
  </si>
  <si>
    <t>Sleeper</t>
  </si>
  <si>
    <t>Clip</t>
  </si>
  <si>
    <t>Rail Pad</t>
  </si>
  <si>
    <t>Isolation Pad</t>
  </si>
  <si>
    <t>Crossing Angle</t>
  </si>
  <si>
    <t>Field Panel Type</t>
  </si>
  <si>
    <t>Edge Beam Type</t>
  </si>
  <si>
    <t>Gauge (+Gauge Widening)</t>
  </si>
  <si>
    <t>SWFP (&gt;840mm)</t>
  </si>
  <si>
    <t>WFP (&gt;565 &lt;=840)</t>
  </si>
  <si>
    <t>FP (&lt;=436 &gt;=565)</t>
  </si>
  <si>
    <t>Steel AEB</t>
  </si>
  <si>
    <t>PVC AEB</t>
  </si>
  <si>
    <t>Rubber Edge Beam</t>
  </si>
  <si>
    <t>Customers Concrete Edge Beam</t>
  </si>
  <si>
    <t>Road Speed(KM/h)</t>
  </si>
  <si>
    <t>Actual Connection Type</t>
  </si>
  <si>
    <t>Baseplated</t>
  </si>
  <si>
    <t>Loop Connect</t>
  </si>
  <si>
    <t>Loop Interlocker</t>
  </si>
  <si>
    <t>Link</t>
  </si>
  <si>
    <t>Link Interlocker</t>
  </si>
  <si>
    <t>TITAN</t>
  </si>
  <si>
    <t>Crossing Usage</t>
  </si>
  <si>
    <t>Ultra Heavy (Mining/City Centre Dual Carriageway)</t>
  </si>
  <si>
    <t>Heavy (High Use of Trucks and Cars)</t>
  </si>
  <si>
    <t>Medium to Heavy (Medium use - Mostly Cars)</t>
  </si>
  <si>
    <t>Light to Medium (Low Use Country Roads)</t>
  </si>
  <si>
    <t>Pedestrian &amp; Cycles Only</t>
  </si>
  <si>
    <t>Agricultural Machinery</t>
  </si>
  <si>
    <t>Rail Road Access Point</t>
  </si>
  <si>
    <t>Number of Tracks</t>
  </si>
  <si>
    <t>49E1</t>
  </si>
  <si>
    <t>Sleeper Spacings at 600mm?</t>
  </si>
  <si>
    <t>Yes</t>
  </si>
  <si>
    <t>No</t>
  </si>
  <si>
    <t>Gauge Panels</t>
  </si>
  <si>
    <t>Connection System</t>
  </si>
  <si>
    <t>Material Choice</t>
  </si>
  <si>
    <t>P(B)</t>
  </si>
  <si>
    <t>A(B)</t>
  </si>
  <si>
    <t>JV</t>
  </si>
  <si>
    <t>N</t>
  </si>
  <si>
    <t>TC</t>
  </si>
  <si>
    <t>Hidden Available Connection Type</t>
  </si>
  <si>
    <t>Available Connection Types</t>
  </si>
  <si>
    <t>GP Type</t>
  </si>
  <si>
    <t>GP Price</t>
  </si>
  <si>
    <t>GP Code</t>
  </si>
  <si>
    <t>GP Quantity</t>
  </si>
  <si>
    <t>Line Price</t>
  </si>
  <si>
    <t>Field Panel</t>
  </si>
  <si>
    <t>FP Type</t>
  </si>
  <si>
    <t>FP Code</t>
  </si>
  <si>
    <t>FP Quantity</t>
  </si>
  <si>
    <t>FP Price</t>
  </si>
  <si>
    <t>Crossing Price</t>
  </si>
  <si>
    <t>Chain Guard</t>
  </si>
  <si>
    <t>CG Type</t>
  </si>
  <si>
    <t>CG Quantity</t>
  </si>
  <si>
    <t>CG Price</t>
  </si>
  <si>
    <t>End Restraint</t>
  </si>
  <si>
    <t>ER Type</t>
  </si>
  <si>
    <t>ER Quantity</t>
  </si>
  <si>
    <t>ER Price</t>
  </si>
  <si>
    <t>AEB Type</t>
  </si>
  <si>
    <t>AEB Quantity</t>
  </si>
  <si>
    <t>AEB</t>
  </si>
  <si>
    <t>Length</t>
  </si>
  <si>
    <t>AEB Price</t>
  </si>
  <si>
    <t xml:space="preserve">3.6m AEB </t>
  </si>
  <si>
    <t>1.8m AEB</t>
  </si>
  <si>
    <t>REB Code</t>
  </si>
  <si>
    <t>REB Quantity</t>
  </si>
  <si>
    <t>REB Price</t>
  </si>
  <si>
    <t>Connection Ancillary 1</t>
  </si>
  <si>
    <t>Connection Ancillary 2</t>
  </si>
  <si>
    <t>Connection Ancillary Type</t>
  </si>
  <si>
    <t>Connection Ancillary Quantity</t>
  </si>
  <si>
    <t>Price</t>
  </si>
  <si>
    <t xml:space="preserve">Connection Ancillary 2 Type </t>
  </si>
  <si>
    <t>Connection Ancillary 2 Quantity</t>
  </si>
  <si>
    <t>Gauge Panel Only</t>
  </si>
  <si>
    <t>N/A</t>
  </si>
  <si>
    <t xml:space="preserve">BP </t>
  </si>
  <si>
    <t>Winged Baseplate Quantity</t>
  </si>
  <si>
    <t>ZRW</t>
  </si>
  <si>
    <t>Crossing Type 1</t>
  </si>
  <si>
    <t>Trial Crossing 1</t>
  </si>
  <si>
    <t>Gauge</t>
  </si>
  <si>
    <t>Sleeper Spacing</t>
  </si>
  <si>
    <t>Crossing Skew</t>
  </si>
  <si>
    <t>Road Speed</t>
  </si>
  <si>
    <t>Material</t>
  </si>
  <si>
    <t>Nature</t>
  </si>
  <si>
    <t>Code</t>
  </si>
  <si>
    <t>Quantity</t>
  </si>
  <si>
    <t>Price/Unit</t>
  </si>
  <si>
    <t>Sub-Total</t>
  </si>
  <si>
    <t>SB8</t>
  </si>
  <si>
    <t>K-Type</t>
  </si>
  <si>
    <t>5mm</t>
  </si>
  <si>
    <t xml:space="preserve">LO </t>
  </si>
  <si>
    <t>CONNECT CHAIN GUARD</t>
  </si>
  <si>
    <t>LINK CHAIN GUARD</t>
  </si>
  <si>
    <t>BASEPLATED CHAIN GUARD</t>
  </si>
  <si>
    <t>CG CONNECT</t>
  </si>
  <si>
    <t>CG LINK</t>
  </si>
  <si>
    <t>CG BASEPLATED</t>
  </si>
  <si>
    <t>CG INTERLOCKING</t>
  </si>
  <si>
    <t>Connect End Restraint</t>
  </si>
  <si>
    <t>Link End Restraint</t>
  </si>
  <si>
    <t>Movement Restrictor</t>
  </si>
  <si>
    <t>Strand Movement Restrictor</t>
  </si>
  <si>
    <t>Strandlock</t>
  </si>
  <si>
    <t xml:space="preserve">H L K </t>
  </si>
  <si>
    <t xml:space="preserve">PC </t>
  </si>
  <si>
    <t xml:space="preserve">H K </t>
  </si>
  <si>
    <t xml:space="preserve">SF2 K </t>
  </si>
  <si>
    <t>EXTREME</t>
  </si>
  <si>
    <t>ROAD</t>
  </si>
  <si>
    <t>RRAP</t>
  </si>
  <si>
    <t>AGRICULTURAL</t>
  </si>
  <si>
    <t>PEDESTRIAN</t>
  </si>
  <si>
    <t>Choice</t>
  </si>
  <si>
    <t>BASEPLATED</t>
  </si>
  <si>
    <t>LOOP</t>
  </si>
  <si>
    <t>LOOP INTERLOCKER</t>
  </si>
  <si>
    <t>LINK</t>
  </si>
  <si>
    <t>LINK INTERLOCKER</t>
  </si>
  <si>
    <t>STRANDLOCK</t>
  </si>
  <si>
    <t>ER Connect</t>
  </si>
  <si>
    <t>ER Link</t>
  </si>
  <si>
    <t>MR Strand</t>
  </si>
  <si>
    <t>MR</t>
  </si>
  <si>
    <t>Steel AEB @ 3.6m</t>
  </si>
  <si>
    <t>Steel AEB @ 1.8m</t>
  </si>
  <si>
    <t>SAEB 3.6m</t>
  </si>
  <si>
    <t>SAEB 1.8m</t>
  </si>
  <si>
    <t>Link Connector</t>
  </si>
  <si>
    <t>ZR Turret</t>
  </si>
  <si>
    <t>ZR</t>
  </si>
  <si>
    <t>HLK GP Connect Plate</t>
  </si>
  <si>
    <t>GP LOL Connect</t>
  </si>
  <si>
    <t>Link Gauge Connecting Plates</t>
  </si>
  <si>
    <t>Field Connecting Plates</t>
  </si>
  <si>
    <t>ZR Winged</t>
  </si>
  <si>
    <t>FP LOL Connect</t>
  </si>
  <si>
    <t>Baseplated Panels</t>
  </si>
  <si>
    <t>HANDLEBAR LINK</t>
  </si>
  <si>
    <t>Euro Price List</t>
  </si>
  <si>
    <t>PC</t>
  </si>
  <si>
    <t xml:space="preserve">LOL </t>
  </si>
  <si>
    <t>HANDLEBAR INTERLOCKING LINK</t>
  </si>
  <si>
    <t xml:space="preserve">GP JV LOL </t>
  </si>
  <si>
    <t>Gauge Connecting PlateS</t>
  </si>
  <si>
    <t xml:space="preserve">NGP P(B) </t>
  </si>
  <si>
    <t xml:space="preserve">NGP A(B) </t>
  </si>
  <si>
    <t xml:space="preserve">NGP JV </t>
  </si>
  <si>
    <t xml:space="preserve">NGP N </t>
  </si>
  <si>
    <t xml:space="preserve">NGP TC </t>
  </si>
  <si>
    <t xml:space="preserve">GP P(B) </t>
  </si>
  <si>
    <t xml:space="preserve">GP A(B) </t>
  </si>
  <si>
    <t xml:space="preserve">GP JV </t>
  </si>
  <si>
    <t xml:space="preserve">GP N </t>
  </si>
  <si>
    <t xml:space="preserve">GP TC </t>
  </si>
  <si>
    <t xml:space="preserve">WGP P(B) </t>
  </si>
  <si>
    <t xml:space="preserve">WGP A(B) </t>
  </si>
  <si>
    <t xml:space="preserve">WGP JV </t>
  </si>
  <si>
    <t xml:space="preserve">WGP N </t>
  </si>
  <si>
    <t xml:space="preserve">WGP TC </t>
  </si>
  <si>
    <t xml:space="preserve">FP P(B) </t>
  </si>
  <si>
    <t xml:space="preserve">FP A(B) </t>
  </si>
  <si>
    <t xml:space="preserve">FP JV </t>
  </si>
  <si>
    <t xml:space="preserve">FP N </t>
  </si>
  <si>
    <t xml:space="preserve">FP TC </t>
  </si>
  <si>
    <t xml:space="preserve">WFP P(B) </t>
  </si>
  <si>
    <t xml:space="preserve">WFP A(B) </t>
  </si>
  <si>
    <t xml:space="preserve">WFP JV </t>
  </si>
  <si>
    <t xml:space="preserve">WFP N </t>
  </si>
  <si>
    <t xml:space="preserve">WFP TC </t>
  </si>
  <si>
    <t xml:space="preserve">SWFP P(B) </t>
  </si>
  <si>
    <t xml:space="preserve">SWFP A(B) </t>
  </si>
  <si>
    <t xml:space="preserve">SWFP JV </t>
  </si>
  <si>
    <t xml:space="preserve">SWFP N </t>
  </si>
  <si>
    <t xml:space="preserve">SWFP TC </t>
  </si>
  <si>
    <t xml:space="preserve">NGP P(B) LO </t>
  </si>
  <si>
    <t xml:space="preserve">NGP A(B) LO </t>
  </si>
  <si>
    <t xml:space="preserve">NGP JV LO </t>
  </si>
  <si>
    <t xml:space="preserve">NGP N LO </t>
  </si>
  <si>
    <t xml:space="preserve">NGP TC LO </t>
  </si>
  <si>
    <t xml:space="preserve">GP P(B) LO </t>
  </si>
  <si>
    <t xml:space="preserve">GP A(B) LO </t>
  </si>
  <si>
    <t xml:space="preserve">GP JV LO </t>
  </si>
  <si>
    <t xml:space="preserve">GP N LO </t>
  </si>
  <si>
    <t xml:space="preserve">GP TC LO </t>
  </si>
  <si>
    <t xml:space="preserve">WGP P(B) LO </t>
  </si>
  <si>
    <t xml:space="preserve">WGP A(B) LO </t>
  </si>
  <si>
    <t xml:space="preserve">WGP JV LO </t>
  </si>
  <si>
    <t xml:space="preserve">WGP N LO </t>
  </si>
  <si>
    <t xml:space="preserve">WGP TC LO </t>
  </si>
  <si>
    <t xml:space="preserve">FP P(B) LO </t>
  </si>
  <si>
    <t xml:space="preserve">FP A(B) LO </t>
  </si>
  <si>
    <t xml:space="preserve">FP JV LO </t>
  </si>
  <si>
    <t xml:space="preserve">FP N LO </t>
  </si>
  <si>
    <t xml:space="preserve">FP TC LO </t>
  </si>
  <si>
    <t xml:space="preserve">WFP P(B) LO </t>
  </si>
  <si>
    <t xml:space="preserve">WFP A(B) LO </t>
  </si>
  <si>
    <t xml:space="preserve">WFP JV LO </t>
  </si>
  <si>
    <t xml:space="preserve">WFP N LO </t>
  </si>
  <si>
    <t xml:space="preserve">WFP TC LO </t>
  </si>
  <si>
    <t xml:space="preserve">SWFP P(B) LO </t>
  </si>
  <si>
    <t xml:space="preserve">SWFP A(B) LO </t>
  </si>
  <si>
    <t xml:space="preserve">SWFP JV LO </t>
  </si>
  <si>
    <t xml:space="preserve">SWFP N LO </t>
  </si>
  <si>
    <t xml:space="preserve">SWFP TC LO </t>
  </si>
  <si>
    <t xml:space="preserve">NGP P(B) LOL </t>
  </si>
  <si>
    <t xml:space="preserve">NGP A(B) LOL </t>
  </si>
  <si>
    <t xml:space="preserve">NGP JV LOL </t>
  </si>
  <si>
    <t xml:space="preserve">NGP N LOL </t>
  </si>
  <si>
    <t xml:space="preserve">NGP TC LOL </t>
  </si>
  <si>
    <t xml:space="preserve">GP P(B) LOL </t>
  </si>
  <si>
    <t xml:space="preserve">GP A(B) LOL </t>
  </si>
  <si>
    <t xml:space="preserve">GP N LOL </t>
  </si>
  <si>
    <t xml:space="preserve">GP TC LOL </t>
  </si>
  <si>
    <t xml:space="preserve">WGP P(B) LOL </t>
  </si>
  <si>
    <t xml:space="preserve">WGP A(B) LOL </t>
  </si>
  <si>
    <t xml:space="preserve">WGP JV LOL </t>
  </si>
  <si>
    <t xml:space="preserve">WGP N LOL </t>
  </si>
  <si>
    <t xml:space="preserve">WGP TC LOL </t>
  </si>
  <si>
    <t xml:space="preserve">FP P(B) LOL </t>
  </si>
  <si>
    <t xml:space="preserve">FP A(B) LOL </t>
  </si>
  <si>
    <t xml:space="preserve">FP JV LOL </t>
  </si>
  <si>
    <t xml:space="preserve">FP N LOL </t>
  </si>
  <si>
    <t xml:space="preserve">FP TC LOL </t>
  </si>
  <si>
    <t xml:space="preserve">WFP P(B) LOL </t>
  </si>
  <si>
    <t xml:space="preserve">WFP A(B) LOL </t>
  </si>
  <si>
    <t xml:space="preserve">WFP JV LOL </t>
  </si>
  <si>
    <t xml:space="preserve">WFP N LOL </t>
  </si>
  <si>
    <t xml:space="preserve">WFP TC LOL </t>
  </si>
  <si>
    <t xml:space="preserve">SWFP P(B) LOL </t>
  </si>
  <si>
    <t xml:space="preserve">SWFP A(B) LOL </t>
  </si>
  <si>
    <t xml:space="preserve">SWFP JV LOL </t>
  </si>
  <si>
    <t xml:space="preserve">SWFP N LOL </t>
  </si>
  <si>
    <t xml:space="preserve">SWFP TC LOL </t>
  </si>
  <si>
    <t xml:space="preserve">NGP P(B) H K </t>
  </si>
  <si>
    <t xml:space="preserve">NGP A(B) H K </t>
  </si>
  <si>
    <t xml:space="preserve">NGP JV H K </t>
  </si>
  <si>
    <t xml:space="preserve">NGP N H K </t>
  </si>
  <si>
    <t xml:space="preserve">NGP TC H K </t>
  </si>
  <si>
    <t xml:space="preserve">GP P(B) H K </t>
  </si>
  <si>
    <t xml:space="preserve">GP A(B) H K </t>
  </si>
  <si>
    <t xml:space="preserve">GP JV H K </t>
  </si>
  <si>
    <t xml:space="preserve">GP N H K </t>
  </si>
  <si>
    <t xml:space="preserve">GP TC H K </t>
  </si>
  <si>
    <t xml:space="preserve">WGP P(B) H K </t>
  </si>
  <si>
    <t xml:space="preserve">WGP A(B) H K </t>
  </si>
  <si>
    <t xml:space="preserve">WGP JV H K </t>
  </si>
  <si>
    <t xml:space="preserve">WGP N H K </t>
  </si>
  <si>
    <t xml:space="preserve">WGP TC H K </t>
  </si>
  <si>
    <t xml:space="preserve">FP P(B) H K </t>
  </si>
  <si>
    <t xml:space="preserve">FP A(B) H K </t>
  </si>
  <si>
    <t xml:space="preserve">FP JV H K </t>
  </si>
  <si>
    <t xml:space="preserve">FP N H K </t>
  </si>
  <si>
    <t xml:space="preserve">FP TC H K </t>
  </si>
  <si>
    <t xml:space="preserve">WFP P(B) H K </t>
  </si>
  <si>
    <t xml:space="preserve">WFP A(B) H K </t>
  </si>
  <si>
    <t xml:space="preserve">WFP JV H K </t>
  </si>
  <si>
    <t xml:space="preserve">WFP N H K </t>
  </si>
  <si>
    <t xml:space="preserve">WFP TC H K </t>
  </si>
  <si>
    <t xml:space="preserve">SWFP P(B) H K </t>
  </si>
  <si>
    <t xml:space="preserve">SWFP A(B) H K </t>
  </si>
  <si>
    <t xml:space="preserve">SWFP JV H K </t>
  </si>
  <si>
    <t xml:space="preserve">SWFP N H K </t>
  </si>
  <si>
    <t xml:space="preserve">SWFP TC H K </t>
  </si>
  <si>
    <t xml:space="preserve">NGP P(B) H L K </t>
  </si>
  <si>
    <t xml:space="preserve">NGP A(B) H L K </t>
  </si>
  <si>
    <t xml:space="preserve">NGP JV H L K </t>
  </si>
  <si>
    <t xml:space="preserve">NGP N H L K </t>
  </si>
  <si>
    <t xml:space="preserve">NGP TC H L K </t>
  </si>
  <si>
    <t xml:space="preserve">GP P(B) H L K </t>
  </si>
  <si>
    <t xml:space="preserve">GP A(B) H L K </t>
  </si>
  <si>
    <t xml:space="preserve">GP JV H L K </t>
  </si>
  <si>
    <t xml:space="preserve">GP N H L K </t>
  </si>
  <si>
    <t xml:space="preserve">GP TC H L K </t>
  </si>
  <si>
    <t xml:space="preserve">WGP P(B) H L K </t>
  </si>
  <si>
    <t xml:space="preserve">WGP A(B) H L K </t>
  </si>
  <si>
    <t xml:space="preserve">WGP JV H L K </t>
  </si>
  <si>
    <t xml:space="preserve">WGP N H L K </t>
  </si>
  <si>
    <t xml:space="preserve">WGP TC H L K </t>
  </si>
  <si>
    <t xml:space="preserve">FP P(B) H L K </t>
  </si>
  <si>
    <t xml:space="preserve">FP A(B) H L K </t>
  </si>
  <si>
    <t xml:space="preserve">FP JV H L K </t>
  </si>
  <si>
    <t xml:space="preserve">FP N H L K </t>
  </si>
  <si>
    <t xml:space="preserve">FP TC H L K </t>
  </si>
  <si>
    <t xml:space="preserve">WFP P(B) H L K </t>
  </si>
  <si>
    <t xml:space="preserve">WFP A(B) H L K </t>
  </si>
  <si>
    <t xml:space="preserve">WFP JV H L K </t>
  </si>
  <si>
    <t xml:space="preserve">WFP N H L K </t>
  </si>
  <si>
    <t xml:space="preserve">WFP TC H L K </t>
  </si>
  <si>
    <t xml:space="preserve">SWFP P(B) H L K </t>
  </si>
  <si>
    <t xml:space="preserve">SWFP A(B) H L K </t>
  </si>
  <si>
    <t xml:space="preserve">SWFP JV H L K </t>
  </si>
  <si>
    <t xml:space="preserve">SWFP N H L K </t>
  </si>
  <si>
    <t xml:space="preserve">SWFP TC H L K </t>
  </si>
  <si>
    <t>INTERLOCKER CHAIN GUARD</t>
  </si>
  <si>
    <t>Password</t>
  </si>
  <si>
    <t>€uro</t>
  </si>
  <si>
    <t>Ancillaries</t>
  </si>
  <si>
    <t>PVC AEB @ 1.8m</t>
  </si>
  <si>
    <t>PVC AEB @ 3.6m</t>
  </si>
  <si>
    <t>Sheath Guard</t>
  </si>
  <si>
    <t>ZR Winged 1UT</t>
  </si>
  <si>
    <t>ZRW 1UT</t>
  </si>
  <si>
    <t>Connection Ancillary 3</t>
  </si>
  <si>
    <t>Connection Ancillary 3 Quantity</t>
  </si>
  <si>
    <t>Crossing Length</t>
  </si>
  <si>
    <t>Strand Length</t>
  </si>
  <si>
    <t xml:space="preserve">Connection Ancillary 4 Type </t>
  </si>
  <si>
    <t>Connection Ancillary 4 Quantity</t>
  </si>
  <si>
    <t>15.7mm Strand @ 4.05m</t>
  </si>
  <si>
    <t>15.7mm Strand @ 5.85m</t>
  </si>
  <si>
    <t>15.7mm Strand @ 7.65m</t>
  </si>
  <si>
    <t>15.7mm Strand @ 9.45m</t>
  </si>
  <si>
    <t>15.7mm Strand @ 11.25m</t>
  </si>
  <si>
    <t>15.7mm Strand @ 13.05m</t>
  </si>
  <si>
    <t>15.7mm Strand @ 14.85m</t>
  </si>
  <si>
    <t>15.7mm Strand @ 16.65m</t>
  </si>
  <si>
    <t>15.7mm Strand @ 18.45m</t>
  </si>
  <si>
    <t>15.7mm Strand @ 20.25m</t>
  </si>
  <si>
    <t>15.7mm Strand @ 22.05m</t>
  </si>
  <si>
    <t>15.7mm Strand @ 23.85m</t>
  </si>
  <si>
    <t>15.7mm Strand @ 25.65m</t>
  </si>
  <si>
    <t>15.7mm Strand @ 27.45m</t>
  </si>
  <si>
    <t>15.7mm Strand @ 29.25m</t>
  </si>
  <si>
    <t>15.7mm Strand @ 31.05m</t>
  </si>
  <si>
    <t>15.7mm Strand @ 32.85m</t>
  </si>
  <si>
    <t>15.7mm Strand @ 34.65m</t>
  </si>
  <si>
    <t>15.7mm Strand @ 36.45m</t>
  </si>
  <si>
    <t>15.7mm Strand @ 38.25m</t>
  </si>
  <si>
    <t>15.7mm Strand @ 40.05m</t>
  </si>
  <si>
    <t>15.7mm Strand @ 41.85m</t>
  </si>
  <si>
    <t>15.7mm Strand @ 43.65m</t>
  </si>
  <si>
    <t>PC SG</t>
  </si>
  <si>
    <t xml:space="preserve">Connection Ancillary 5 Type </t>
  </si>
  <si>
    <t>Connection Ancillary 5 Quantity</t>
  </si>
  <si>
    <t>Gauge Connecting Plates PC</t>
  </si>
  <si>
    <t>Field Connecting Plates PC</t>
  </si>
  <si>
    <t>Super Field Connecting Plates PC</t>
  </si>
  <si>
    <t>Wide Field Connecting Plates PC</t>
  </si>
  <si>
    <t>GP PC Connect</t>
  </si>
  <si>
    <t>FP PC Connect</t>
  </si>
  <si>
    <t>SWFP PC Connect</t>
  </si>
  <si>
    <t>WFP PC Connect</t>
  </si>
  <si>
    <t xml:space="preserve">Connection Ancillary 6 Type </t>
  </si>
  <si>
    <t>Connection Ancillary 6 Quantity</t>
  </si>
  <si>
    <t xml:space="preserve">Connection Ancillary 7 Type </t>
  </si>
  <si>
    <t>Connection Ancillary 7 Quantity</t>
  </si>
  <si>
    <t>Galvanised GP End Plates PC</t>
  </si>
  <si>
    <t>GP PC End Plates</t>
  </si>
  <si>
    <t>Galvanised SWFP End Plates PC</t>
  </si>
  <si>
    <t>SWFP PC End Plates</t>
  </si>
  <si>
    <t>Galvanised WFP End Plates PC</t>
  </si>
  <si>
    <t>WFP PC End Plates</t>
  </si>
  <si>
    <t>Galvanised FP End Plates PC</t>
  </si>
  <si>
    <t>FP PC End Plates</t>
  </si>
  <si>
    <t>REB TC</t>
  </si>
  <si>
    <t>Rubber Edge Beam Baseplate</t>
  </si>
  <si>
    <t>Cost Price</t>
  </si>
  <si>
    <t>Valid Until:</t>
  </si>
  <si>
    <t>Quote Date:</t>
  </si>
  <si>
    <t>Styl2000</t>
  </si>
  <si>
    <t>Quote Trial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</si>
</sst>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&quot;m&quot;"/>
    <numFmt numFmtId="165" formatCode="0&quot;KM/h&quot;"/>
    <numFmt numFmtId="166" formatCode="0&quot;°&quot;"/>
    <numFmt numFmtId="167" formatCode="0&quot;mm&quot;"/>
    <numFmt numFmtId="168" formatCode="[$€-2]\ #,##0.00"/>
    <numFmt numFmtId="169" formatCode="0.0"/>
    <numFmt numFmtId="170" formatCode="&quot;£&quot;#,##0.00"/>
  </numFmts>
  <fonts count="4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2" applyNumberFormat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1" fillId="2" borderId="2" xfId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textRotation="255"/>
    </xf>
    <xf numFmtId="168" fontId="0" fillId="0" borderId="0" xfId="0" applyNumberFormat="1"/>
    <xf numFmtId="168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169" fontId="0" fillId="0" borderId="0" xfId="0" applyNumberFormat="1"/>
    <xf numFmtId="170" fontId="0" fillId="0" borderId="0" xfId="0" applyNumberFormat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0" fontId="0" fillId="0" borderId="14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49" fontId="0" fillId="0" borderId="1" xfId="0" applyNumberFormat="1" applyBorder="1" applyAlignment="1">
      <alignment horizontal="left" vertical="center"/>
    </xf>
    <xf numFmtId="49" fontId="0" fillId="0" borderId="17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67" fontId="0" fillId="0" borderId="17" xfId="0" applyNumberForma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166" fontId="0" fillId="0" borderId="15" xfId="0" applyNumberFormat="1" applyBorder="1" applyAlignment="1">
      <alignment horizontal="left" vertical="center"/>
    </xf>
    <xf numFmtId="165" fontId="0" fillId="0" borderId="18" xfId="0" applyNumberForma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8" fontId="3" fillId="0" borderId="23" xfId="0" applyNumberFormat="1" applyFont="1" applyBorder="1" applyAlignment="1">
      <alignment horizontal="center" vertical="center"/>
    </xf>
    <xf numFmtId="168" fontId="3" fillId="0" borderId="2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textRotation="255"/>
    </xf>
  </cellXfs>
  <cellStyles count="2">
    <cellStyle name="Input" xfId="1" builtinId="20"/>
    <cellStyle name="Normal" xfId="0" builtinId="0"/>
  </cellStyles>
  <dxfs count="12">
    <dxf>
      <numFmt numFmtId="0" formatCode="General"/>
    </dxf>
    <dxf>
      <numFmt numFmtId="169" formatCode="0.0"/>
    </dxf>
    <dxf>
      <numFmt numFmtId="168" formatCode="[$€-2]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0</xdr:rowOff>
    </xdr:from>
    <xdr:to>
      <xdr:col>1</xdr:col>
      <xdr:colOff>1752600</xdr:colOff>
      <xdr:row>3</xdr:row>
      <xdr:rowOff>60074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65A8FC-505C-7C33-03EC-5CE92DDD9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0"/>
          <a:ext cx="1914525" cy="62776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11EB03-ED8E-474A-97E1-D41CF833045F}" name="Table2" displayName="Table2" ref="A11:F26" totalsRowShown="0" headerRowDxfId="11" dataDxfId="9" headerRowBorderDxfId="10" tableBorderDxfId="8">
  <autoFilter ref="A11:F26" xr:uid="{DD11EB03-ED8E-474A-97E1-D41CF833045F}">
    <filterColumn colId="1">
      <customFilters>
        <customFilter operator="notEqual" val=" "/>
      </customFilters>
    </filterColumn>
  </autoFilter>
  <tableColumns count="6">
    <tableColumn id="1" xr3:uid="{3557AC0A-3B02-4AC1-9CA7-2BAAA9A68A81}" name="Material" dataDxfId="7"/>
    <tableColumn id="2" xr3:uid="{2A616EE7-2BDD-4087-A894-BF87E9B7B8F6}" name="Nature" dataDxfId="6"/>
    <tableColumn id="3" xr3:uid="{2658CE91-63AE-4E51-9423-FEE7E7CB128C}" name="Code" dataDxfId="5"/>
    <tableColumn id="4" xr3:uid="{07C44981-5450-450E-A039-F8DEDD3BEF94}" name="Quantity" dataDxfId="4"/>
    <tableColumn id="5" xr3:uid="{E9E04A9C-CFAA-4A10-8590-A4EF30D49A35}" name="Price/Unit" dataDxfId="3"/>
    <tableColumn id="6" xr3:uid="{BF541555-D85C-499F-8E23-9F981F910F1A}" name="Sub-Total" dataDxfId="2">
      <calculatedColumnFormula>IF(D12="","",D12*E12)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979EA-2C62-429B-B3AF-9AF4D31A2163}" name="Table1" displayName="Table1" ref="E28:F51" totalsRowShown="0">
  <autoFilter ref="E28:F51" xr:uid="{DBE979EA-2C62-429B-B3AF-9AF4D31A2163}"/>
  <tableColumns count="2">
    <tableColumn id="1" xr3:uid="{F91FC265-473A-425B-BC3B-E4B55EAB41D1}" name="Crossing Length" dataDxfId="1"/>
    <tableColumn id="2" xr3:uid="{91E02CCA-4A10-481E-9089-3562EBFA7225}" name="Strand Length" dataDxfId="0">
      <calculatedColumnFormula>CONCATENATE("15.7mm Strand @ ",E29+0.45,"m")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3D0F-AEBA-4604-9A58-15964893CACC}">
  <dimension ref="A2:CS36"/>
  <sheetViews>
    <sheetView tabSelected="1" showOutlineSymbols="0" showWhiteSpace="0" topLeftCell="F1" workbookViewId="0">
      <selection activeCell="T7" sqref="T7"/>
    </sheetView>
  </sheetViews>
  <sheetFormatPr baseColWidth="10" defaultColWidth="8.83203125" defaultRowHeight="15" outlineLevelCol="1" x14ac:dyDescent="0.2"/>
  <cols>
    <col min="2" max="2" width="26.5" customWidth="1"/>
    <col min="3" max="5" width="11.1640625" customWidth="1"/>
    <col min="6" max="16" width="14" customWidth="1"/>
    <col min="17" max="17" width="23.5" bestFit="1" customWidth="1"/>
    <col min="18" max="18" width="16" hidden="1" customWidth="1" outlineLevel="1"/>
    <col min="19" max="19" width="23.6640625" customWidth="1" collapsed="1"/>
    <col min="20" max="21" width="24" customWidth="1"/>
    <col min="22" max="30" width="13.1640625" customWidth="1"/>
    <col min="31" max="36" width="12.83203125" customWidth="1"/>
  </cols>
  <sheetData>
    <row r="2" spans="1:97" x14ac:dyDescent="0.2">
      <c r="B2" t="s">
        <v>0</v>
      </c>
      <c r="C2" s="37" t="s">
        <v>378</v>
      </c>
      <c r="D2" s="37"/>
      <c r="E2" s="37"/>
      <c r="F2" s="37"/>
      <c r="H2" t="s">
        <v>313</v>
      </c>
      <c r="I2" t="s">
        <v>314</v>
      </c>
    </row>
    <row r="3" spans="1:97" x14ac:dyDescent="0.2">
      <c r="B3" t="s">
        <v>1</v>
      </c>
      <c r="C3" s="37" t="s">
        <v>379</v>
      </c>
      <c r="D3" s="37"/>
      <c r="E3" s="37"/>
      <c r="F3" s="37"/>
    </row>
    <row r="4" spans="1:97" x14ac:dyDescent="0.2">
      <c r="B4" t="s">
        <v>2</v>
      </c>
      <c r="C4" s="37"/>
      <c r="D4" s="37"/>
      <c r="E4" s="37"/>
      <c r="F4" s="37"/>
    </row>
    <row r="5" spans="1:97" x14ac:dyDescent="0.2">
      <c r="W5" s="37" t="s">
        <v>44</v>
      </c>
      <c r="X5" s="37"/>
      <c r="Y5" s="37"/>
      <c r="Z5" s="37"/>
      <c r="AA5" s="37"/>
      <c r="AB5" s="37"/>
      <c r="AC5" s="11"/>
      <c r="AE5" s="37" t="s">
        <v>45</v>
      </c>
      <c r="AF5" s="37"/>
      <c r="AG5" s="37"/>
      <c r="AH5" s="37"/>
      <c r="AI5" s="37"/>
      <c r="AJ5" s="11"/>
      <c r="AL5" s="37" t="s">
        <v>43</v>
      </c>
      <c r="AM5" s="37"/>
      <c r="AN5" s="37"/>
      <c r="AO5" s="37"/>
      <c r="AP5" s="37"/>
      <c r="AQ5" s="37" t="s">
        <v>58</v>
      </c>
      <c r="AR5" s="37"/>
      <c r="AS5" s="37"/>
      <c r="AT5" s="37"/>
      <c r="AU5" s="37"/>
      <c r="AV5" s="37" t="s">
        <v>20</v>
      </c>
      <c r="AW5" s="37"/>
      <c r="AX5" s="37"/>
      <c r="AY5" s="37"/>
      <c r="AZ5" s="37" t="s">
        <v>64</v>
      </c>
      <c r="BA5" s="37"/>
      <c r="BB5" s="37"/>
      <c r="BC5" s="37"/>
      <c r="BD5" s="37" t="s">
        <v>68</v>
      </c>
      <c r="BE5" s="37"/>
      <c r="BF5" s="37"/>
      <c r="BG5" s="37"/>
      <c r="BH5" s="37" t="s">
        <v>77</v>
      </c>
      <c r="BI5" s="37"/>
      <c r="BJ5" s="37"/>
      <c r="BK5" s="37"/>
      <c r="BL5" s="37"/>
      <c r="BM5" s="37" t="s">
        <v>78</v>
      </c>
      <c r="BN5" s="37"/>
      <c r="BO5" s="37"/>
      <c r="BP5" s="37"/>
      <c r="BQ5" s="37" t="s">
        <v>82</v>
      </c>
      <c r="BR5" s="37"/>
      <c r="BS5" s="37"/>
      <c r="BT5" s="37"/>
      <c r="BU5" s="37" t="s">
        <v>83</v>
      </c>
      <c r="BV5" s="37"/>
      <c r="BW5" s="37"/>
      <c r="BX5" s="37"/>
      <c r="BY5" s="37" t="s">
        <v>321</v>
      </c>
      <c r="BZ5" s="37"/>
      <c r="CA5" s="37"/>
      <c r="CB5" s="37"/>
      <c r="CC5" s="37" t="s">
        <v>325</v>
      </c>
      <c r="CD5" s="37"/>
      <c r="CE5" s="37"/>
      <c r="CF5" s="37"/>
      <c r="CG5" s="37" t="s">
        <v>351</v>
      </c>
      <c r="CH5" s="37"/>
      <c r="CI5" s="37"/>
      <c r="CJ5" s="37"/>
      <c r="CK5" s="37" t="s">
        <v>361</v>
      </c>
      <c r="CL5" s="37"/>
      <c r="CM5" s="37"/>
      <c r="CN5" s="37"/>
      <c r="CO5" s="37" t="s">
        <v>363</v>
      </c>
      <c r="CP5" s="37"/>
      <c r="CQ5" s="37"/>
      <c r="CR5" s="37"/>
      <c r="CS5" t="s">
        <v>374</v>
      </c>
    </row>
    <row r="6" spans="1:97" s="1" customFormat="1" ht="46.5" customHeight="1" x14ac:dyDescent="0.2">
      <c r="A6" s="2"/>
      <c r="B6" s="8" t="s">
        <v>3</v>
      </c>
      <c r="C6" s="8" t="s">
        <v>4</v>
      </c>
      <c r="D6" s="2" t="s">
        <v>5</v>
      </c>
      <c r="E6" s="8" t="s">
        <v>38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14</v>
      </c>
      <c r="L6" s="8" t="s">
        <v>40</v>
      </c>
      <c r="M6" s="8" t="s">
        <v>11</v>
      </c>
      <c r="N6" s="8" t="s">
        <v>12</v>
      </c>
      <c r="O6" s="8" t="s">
        <v>13</v>
      </c>
      <c r="P6" s="8" t="s">
        <v>22</v>
      </c>
      <c r="Q6" s="8" t="s">
        <v>30</v>
      </c>
      <c r="R6" s="2" t="s">
        <v>51</v>
      </c>
      <c r="S6" s="2" t="s">
        <v>52</v>
      </c>
      <c r="T6" s="9" t="s">
        <v>23</v>
      </c>
      <c r="U6" s="2" t="s">
        <v>63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1" t="s">
        <v>121</v>
      </c>
      <c r="AE6" s="1" t="s">
        <v>46</v>
      </c>
      <c r="AF6" s="1" t="s">
        <v>47</v>
      </c>
      <c r="AG6" s="1" t="s">
        <v>48</v>
      </c>
      <c r="AH6" s="1" t="s">
        <v>49</v>
      </c>
      <c r="AI6" s="1" t="s">
        <v>50</v>
      </c>
      <c r="AJ6" s="1" t="s">
        <v>131</v>
      </c>
      <c r="AL6" s="1" t="s">
        <v>53</v>
      </c>
      <c r="AM6" s="1" t="s">
        <v>55</v>
      </c>
      <c r="AN6" s="1" t="s">
        <v>56</v>
      </c>
      <c r="AO6" s="1" t="s">
        <v>54</v>
      </c>
      <c r="AP6" s="1" t="s">
        <v>57</v>
      </c>
      <c r="AQ6" s="1" t="s">
        <v>59</v>
      </c>
      <c r="AR6" s="1" t="s">
        <v>60</v>
      </c>
      <c r="AS6" s="1" t="s">
        <v>61</v>
      </c>
      <c r="AT6" s="1" t="s">
        <v>62</v>
      </c>
      <c r="AU6" s="1" t="s">
        <v>57</v>
      </c>
      <c r="AV6" s="1" t="s">
        <v>79</v>
      </c>
      <c r="AW6" s="1" t="s">
        <v>80</v>
      </c>
      <c r="AX6" s="1" t="s">
        <v>81</v>
      </c>
      <c r="AY6" s="1" t="s">
        <v>57</v>
      </c>
      <c r="AZ6" s="1" t="s">
        <v>65</v>
      </c>
      <c r="BA6" s="1" t="s">
        <v>66</v>
      </c>
      <c r="BB6" s="1" t="s">
        <v>67</v>
      </c>
      <c r="BC6" s="1" t="s">
        <v>57</v>
      </c>
      <c r="BD6" s="1" t="s">
        <v>69</v>
      </c>
      <c r="BE6" s="1" t="s">
        <v>70</v>
      </c>
      <c r="BF6" s="1" t="s">
        <v>71</v>
      </c>
      <c r="BG6" s="1" t="s">
        <v>57</v>
      </c>
      <c r="BH6" s="1" t="s">
        <v>72</v>
      </c>
      <c r="BI6" s="1" t="s">
        <v>73</v>
      </c>
      <c r="BJ6" s="1" t="s">
        <v>76</v>
      </c>
      <c r="BK6" s="1" t="s">
        <v>57</v>
      </c>
      <c r="BL6" s="1" t="s">
        <v>72</v>
      </c>
      <c r="BM6" s="1" t="s">
        <v>73</v>
      </c>
      <c r="BN6" s="1" t="s">
        <v>76</v>
      </c>
      <c r="BO6" s="1" t="s">
        <v>57</v>
      </c>
      <c r="BP6" s="1" t="s">
        <v>72</v>
      </c>
      <c r="BQ6" s="1" t="s">
        <v>84</v>
      </c>
      <c r="BR6" s="1" t="s">
        <v>85</v>
      </c>
      <c r="BS6" s="1" t="s">
        <v>86</v>
      </c>
      <c r="BT6" s="1" t="s">
        <v>57</v>
      </c>
      <c r="BU6" s="1" t="s">
        <v>87</v>
      </c>
      <c r="BV6" s="1" t="s">
        <v>88</v>
      </c>
      <c r="BW6" s="1" t="s">
        <v>86</v>
      </c>
      <c r="BX6" s="1" t="s">
        <v>57</v>
      </c>
      <c r="BY6" s="1" t="s">
        <v>321</v>
      </c>
      <c r="BZ6" s="1" t="s">
        <v>322</v>
      </c>
      <c r="CA6" s="1" t="s">
        <v>86</v>
      </c>
      <c r="CB6" s="1" t="s">
        <v>57</v>
      </c>
      <c r="CC6" s="1" t="s">
        <v>325</v>
      </c>
      <c r="CD6" s="1" t="s">
        <v>326</v>
      </c>
      <c r="CE6" s="1" t="s">
        <v>86</v>
      </c>
      <c r="CF6" s="1" t="s">
        <v>57</v>
      </c>
      <c r="CG6" s="1" t="s">
        <v>351</v>
      </c>
      <c r="CH6" s="1" t="s">
        <v>352</v>
      </c>
      <c r="CI6" s="1" t="s">
        <v>86</v>
      </c>
      <c r="CJ6" s="1" t="s">
        <v>57</v>
      </c>
      <c r="CK6" s="1" t="s">
        <v>361</v>
      </c>
      <c r="CL6" s="1" t="s">
        <v>362</v>
      </c>
      <c r="CM6" s="1" t="s">
        <v>86</v>
      </c>
      <c r="CN6" s="1" t="s">
        <v>57</v>
      </c>
      <c r="CO6" s="1" t="s">
        <v>363</v>
      </c>
      <c r="CP6" s="1" t="s">
        <v>364</v>
      </c>
      <c r="CQ6" s="1" t="s">
        <v>86</v>
      </c>
      <c r="CR6" s="1" t="s">
        <v>57</v>
      </c>
      <c r="CS6" s="1" t="s">
        <v>86</v>
      </c>
    </row>
    <row r="7" spans="1:97" s="1" customFormat="1" ht="41.25" customHeight="1" x14ac:dyDescent="0.2">
      <c r="A7" s="2">
        <v>1</v>
      </c>
      <c r="B7" s="2" t="s">
        <v>95</v>
      </c>
      <c r="C7" s="3">
        <v>7.2</v>
      </c>
      <c r="D7" s="3">
        <f t="shared" ref="D7:D36" si="0">IF(C7="","",ROUNDUP(C7/1.8,0)*1.8)</f>
        <v>7.2</v>
      </c>
      <c r="E7" s="2">
        <v>2</v>
      </c>
      <c r="F7" s="7" t="s">
        <v>39</v>
      </c>
      <c r="G7" s="7" t="s">
        <v>106</v>
      </c>
      <c r="H7" s="7" t="s">
        <v>107</v>
      </c>
      <c r="I7" s="2" t="s">
        <v>108</v>
      </c>
      <c r="J7" s="2" t="s">
        <v>90</v>
      </c>
      <c r="K7" s="6">
        <v>1520</v>
      </c>
      <c r="L7" s="6" t="s">
        <v>41</v>
      </c>
      <c r="M7" s="5">
        <v>45</v>
      </c>
      <c r="N7" s="2" t="s">
        <v>16</v>
      </c>
      <c r="O7" s="2" t="s">
        <v>20</v>
      </c>
      <c r="P7" s="4">
        <v>100</v>
      </c>
      <c r="Q7" s="4" t="s">
        <v>33</v>
      </c>
      <c r="R7" s="2" t="str">
        <f>CONCATENATE(W7,X7,Y7,Z7,AA7,AB7,AC7)</f>
        <v>LO H K PC</v>
      </c>
      <c r="S7" s="2" t="str">
        <f>IF(R7="","Selection doesn’t allow a System - Please Contact RHR",R7)</f>
        <v>LO H K PC</v>
      </c>
      <c r="T7" s="10" t="s">
        <v>109</v>
      </c>
      <c r="U7" s="2"/>
      <c r="W7" s="1" t="str">
        <f>IF(Q7=List!F2,"BP ",IF(L7="No","",IF(OR(Q7=List!F8,'Order Summary'!Q7=List!F7),"",IF(AND(M7&gt;=60,M7&lt;=120,P7&lt;=70),"BP ",""))))</f>
        <v/>
      </c>
      <c r="X7" s="1" t="str">
        <f>IF(AND(L7="yes",Q7&lt;&gt;"Ultra Heavy (Mining/City Centre Dual Carriageway)"),"LO ","")</f>
        <v xml:space="preserve">LO </v>
      </c>
      <c r="Y7" s="1" t="str">
        <f>IF(OR(Q7=List!F3,'Order Summary'!Q7=List!F4),"LOL ","")</f>
        <v/>
      </c>
      <c r="Z7" s="1" t="str">
        <f>IF(AND(L7="yes",Q7&lt;&gt;"Ultra Heavy (Mining/City Centre Dual Carriageway)"),"H K ","")</f>
        <v xml:space="preserve">H K </v>
      </c>
      <c r="AA7" s="1" t="str">
        <f>IF(OR(Q7=List!F3,'Order Summary'!Q7=List!F4),"H L K ","")</f>
        <v/>
      </c>
      <c r="AB7" s="1" t="str">
        <f>IF(AND(ISNUMBER(SEARCH("Ultra",Q7)),L7="Yes"),"SF2 K ","")</f>
        <v/>
      </c>
      <c r="AC7" s="1" t="s">
        <v>158</v>
      </c>
      <c r="AE7" s="1" t="str">
        <f>IF(ISNUMBER(SEARCH("Pedestrian",Q7)),"P(B)","")</f>
        <v/>
      </c>
      <c r="AF7" s="1" t="str">
        <f>IF(AND(T7="BP ",ISNUMBER(SEARCH("Agri",Q7))),"A(B)",IF(AND(T7="LO ",ISNUMBER(SEARCH("Agri",Q7))),"A(B)",""))</f>
        <v/>
      </c>
      <c r="AG7" s="1" t="str">
        <f>IF(OR(ISNUMBER(SEARCH("Rail Road Access",Q7)),L7="No"),"JV",IF(AND(T7="H K ",ISNUMBER(SEARCH("Agri",Q7))),"JV",""))</f>
        <v/>
      </c>
      <c r="AH7" s="1" t="str">
        <f>IF(Q7&lt;&gt;List!F5,"",IF(OR(T7="BP ",T7="LO "),"N",""))</f>
        <v/>
      </c>
      <c r="AI7" s="1" t="str">
        <f>IF(AND(ISNUMBER(SEARCH("K",T7)),OR(Q7=List!F5,'Order Summary'!Q7=List!F6,'Order Summary'!Q7=List!F7,'Order Summary'!Q7=List!F8,)),"TC",IF(AND(T7="BP ",Q7=List!F6),"TC",IF(AND(ISNUMBER(SEARCH("LO",T7)),OR('Order Summary'!Q7=List!F6,'Order Summary'!Q7=List!F7,'Order Summary'!Q7=List!F8,)),"TC","")))</f>
        <v>TC</v>
      </c>
      <c r="AJ7" s="1" t="str">
        <f>CONCATENATE(AE7,AF7,AG7,AH7,AI7)</f>
        <v>TC</v>
      </c>
      <c r="AL7" s="1" t="str">
        <f>IF(K7&lt;=1420,"NGP",IF(K7&gt;=1455,"WGP","GP"))</f>
        <v>WGP</v>
      </c>
      <c r="AM7" s="1" t="str">
        <f>IF($T7="BP ",CONCATENATE($AL7," ",$AE7,$AF7,$AG7,$AH7,$AI7," "),CONCATENATE($AL7," ",$AE7,$AF7,$AG7,$AH7,$AI7," ",$T7))</f>
        <v xml:space="preserve">WGP TC LO </v>
      </c>
      <c r="AN7" s="1">
        <f>(D7/1.8*2)*E7</f>
        <v>16</v>
      </c>
      <c r="AO7" s="1">
        <f>IF(I2="€uro",_xlfn.XLOOKUP(AM7,'PRICE LIST'!$D$4:$D$153,'PRICE LIST'!$F$4:$F$153),"")</f>
        <v>927.2</v>
      </c>
      <c r="AQ7" s="1" t="str">
        <f>IF(ISNUMBER(SEARCH("SWFP",N7)),"SWFP",IF(ISNUMBER(SEARCH("WFP",N7)),"WFP",IF(N7="Gauge Panel Only","","FP")))</f>
        <v>WFP</v>
      </c>
      <c r="AR7" s="1" t="str">
        <f>IF($T7="BP ",CONCATENATE($AQ7," ",$AE7,$AF7,$AG7,$AH7,$AI7," "),CONCATENATE($AQ7," ",$AE7,$AF7,$AG7,$AH7,$AI7," ",$T7))</f>
        <v xml:space="preserve">WFP TC LO </v>
      </c>
      <c r="AS7" s="1">
        <f>IF(AQ7="","",(D7/1.8*2)*E7)</f>
        <v>16</v>
      </c>
      <c r="AT7" s="1">
        <f>IF(I2="€uro",_xlfn.XLOOKUP(AR7,'PRICE LIST'!$D$4:$D$153,'PRICE LIST'!$F$4:$F$153),"")</f>
        <v>839.1</v>
      </c>
      <c r="AV7" s="1" t="str">
        <f>IF(ISNUMBER(SEARCH("Rubber Edge Beam",O7)),"REB TC","")</f>
        <v>REB TC</v>
      </c>
      <c r="AW7" s="1">
        <f>IF(AV7="","",AS7)</f>
        <v>16</v>
      </c>
      <c r="AX7" s="1">
        <f>IF($I$2="€uro",_xlfn.XLOOKUP(AV7,'PRICE LIST'!$D$3:$D$153,'PRICE LIST'!$F$3:$F$153),"")</f>
        <v>365.25</v>
      </c>
      <c r="AZ7" s="1" t="str">
        <f>IF(ISNUMBER(SEARCH("PC",T7)),"Link Chain Guard",IF(ISNUMBER(SEARCH("K",T7)),"Link Chain Guard",IF(ISNUMBER(SEARCH("BP",T7)),"Baseplated Chain Guard",IF(ISNUMBER(SEARCH("LOL",T7)),"Interlocker Chain Guard",IF(ISNUMBER(SEARCH("LO",T7)),"CONNECT CHAIN GUARD","")))))</f>
        <v>CONNECT CHAIN GUARD</v>
      </c>
      <c r="BA7" s="1">
        <f>E7*2</f>
        <v>4</v>
      </c>
      <c r="BB7" s="1">
        <f>IF($I$2="€uro",_xlfn.XLOOKUP(AZ7,'PRICE LIST'!$I$4:$I$55,'PRICE LIST'!$K$4:$K$55))</f>
        <v>87.8</v>
      </c>
      <c r="BC7" s="1">
        <f>BA7*BB7</f>
        <v>351.2</v>
      </c>
      <c r="BD7" s="1" t="str">
        <f>IF(AND(T7="pc",N7="FP (&lt;=436 &gt;=565)"),"Strand Movement Restrictor",IF(ISNUMBER(SEARCH("K",T7)),"Link End Restraint",IF(ISNUMBER(SEARCH("LO",T7)),"Connect End Restraint",IF(AND(T7="BP ",M7&lt;=70),"Movement Restrictor",""))))</f>
        <v>Connect End Restraint</v>
      </c>
      <c r="BE7" s="1">
        <f>IF(BD7="","",IF(BD7="Strand Movement Restrictor",4*E7,IF(N7="Gauge Panel Only",E7*4,E7*8)))</f>
        <v>16</v>
      </c>
      <c r="BF7" s="1">
        <f>IF($I$2="€uro",_xlfn.XLOOKUP(BD7,'PRICE LIST'!$I$4:$I$55,'PRICE LIST'!$K$4:$K$55))</f>
        <v>227.55</v>
      </c>
      <c r="BH7" s="1" t="str">
        <f>IF(ISNUMBER(SEARCH("PVC",O7)),"PVC AEB @ 3.6m",IF(ISNUMBER(SEARCH("Steel",O7)),"Steel AEB @ 3.6m",""))</f>
        <v/>
      </c>
      <c r="BI7" s="1" t="str">
        <f>IF(BH7="","",_xlfn.XLOOKUP(D7,List!K3:K114,List!L3:L114)*'Order Summary'!E7)</f>
        <v/>
      </c>
      <c r="BJ7" s="1" t="e">
        <f>IF($I$2="€uro",_xlfn.XLOOKUP(BH7,'PRICE LIST'!$I$4:$I$55,'PRICE LIST'!$K$4:$K$55))</f>
        <v>#N/A</v>
      </c>
      <c r="BL7" s="1" t="str">
        <f>IF(ISNUMBER(SEARCH("PVC",O7)),"PVC AEB @ 1.8m",IF(ISNUMBER(SEARCH("Steel",O7)),"Steel AEB @ 1.8m",""))</f>
        <v/>
      </c>
      <c r="BM7" s="1" t="str">
        <f>IF(BL7="","",_xlfn.XLOOKUP(D7,List!K3:K114,List!M3:M114,0)*'Order Summary'!E7)</f>
        <v/>
      </c>
      <c r="BN7" s="1" t="e">
        <f>IF($I$2="€uro",_xlfn.XLOOKUP(BL7,'PRICE LIST'!$I$4:$I$55,'PRICE LIST'!$K$4:$K$55))</f>
        <v>#N/A</v>
      </c>
      <c r="BQ7" s="1" t="str">
        <f>IF(T7="PC","Sheath Guard",IF(T7="BP ","ZR Turret",IF(T7="LO ","",IF(OR(T7="H K ",T7="SF2 K ",T7="h l k "),"Link Connector",IF(T7="LOL ","Gauge Connecting Plates","")))))</f>
        <v/>
      </c>
      <c r="BR7" s="1" t="str">
        <f>IF(AND(BQ7="Sheath Guard",ISNUMBER(SEARCH("SWFP",N7))),6*E7,IF(AND(BQ7="Sheath Guard",ISNUMBER(SEARCH("Gauge",N7))),2*E7,IF(BQ7="Sheath Guard",4*E7,IF(AND(BQ7="Link Connector",N7="Gauge Panel Only"),((D7/1.8)-1)*2*E7,IF(BQ7="Link Connector",((D7/1.8)-1)*4*E7,IF(BQ7="Gauge Connecting Plates",((D7/1.8)-1)*E7,IF(AND(BQ7="ZR Turret",D7&lt;=1.8),"",IF(AND(BQ7="ZR Turret",N7="Gauge Panel Only"),((((D7/1.8)-1)*2)*E7)-BV7,IF(BQ7="ZR Turret",((((D7/1.8)-1)*4)*E7)-BV7,"")))))))))</f>
        <v/>
      </c>
      <c r="BS7" s="1" t="e">
        <f>IF($I$2="€uro",_xlfn.XLOOKUP(BQ7,'PRICE LIST'!$I$4:$I$55,'PRICE LIST'!$K$4:$K$55))</f>
        <v>#N/A</v>
      </c>
      <c r="BU7" s="1" t="str">
        <f>IF(BQ7="Gauge Connecting Plates","Field Connecting Plates",IF(T7="H L K ","Link Gauge Connecting Plates",IF(T7="PC","ZR Winged 1UT",IF(BQ7="ZR Turret","ZR Winged",""))))</f>
        <v/>
      </c>
      <c r="BV7" s="1" t="str">
        <f>IF(BD7="Strand Movement Restrictor",2*E7,IF(T7="PC",4*E7,IF(BU7="Field Connecting Plates",BR7*2,IF(BU7="Link Gauge Connecting Plates",(((D7/1.8)-1)*E7),IF(AND(BU7="ZR Winged",N7="Gauge Panel Only"),_xlfn.XLOOKUP(D7,List!K2:K114,List!N2:N114)/2*E7,IF(BU7="ZR Winged",_xlfn.XLOOKUP(D7,List!$K$3:$K$114,List!$N$3:$N$114)*'Order Summary'!E7,""))))))</f>
        <v/>
      </c>
      <c r="BW7" s="1" t="e">
        <f>IF($I$2="€uro",_xlfn.XLOOKUP(BU7,'PRICE LIST'!$I$4:$I$55,'PRICE LIST'!$K$4:$K$55))</f>
        <v>#N/A</v>
      </c>
      <c r="BY7" s="1" t="str" cm="1">
        <f t="array" ref="BY7">IF(T7="PC",_xlfn.XLOOKUP(D7,Table1[[#All],[Crossing Length]],Table1[[#All],[Strand Length]]),"")</f>
        <v/>
      </c>
      <c r="BZ7" s="1" t="str">
        <f>IF(AND(ISNUMBER(SEARCH("Strand",BY7)),ISNUMBER(SEARCH("SWFP",N7))),6*E7,IF(AND(ISNUMBER(SEARCH("Strand",BY7)),ISNUMBER(SEARCH("Gauge",N7))),2*E7,IF(ISNUMBER(SEARCH("Strand",BY7)),4*E7,"")))</f>
        <v/>
      </c>
      <c r="CA7" s="1" t="e">
        <f>IF($I$2="€uro",_xlfn.XLOOKUP(BY7,'PRICE LIST'!$I$4:$I$55,'PRICE LIST'!$K$4:$K$55))</f>
        <v>#N/A</v>
      </c>
      <c r="CC7" s="1" t="str">
        <f>IF(T7="PC","Gauge Connecting Plates PC","")</f>
        <v/>
      </c>
      <c r="CD7" s="1" t="str">
        <f>IF(CC7="Gauge Connecting Plates PC",((((D7/1.8)-1)*2)*E7),"")</f>
        <v/>
      </c>
      <c r="CE7" s="1" t="e">
        <f>IF($I$2="€uro",_xlfn.XLOOKUP(CC7,'PRICE LIST'!$I$4:$I$55,'PRICE LIST'!$K$4:$K$55))</f>
        <v>#N/A</v>
      </c>
      <c r="CG7" s="1" t="str">
        <f>IF(AND(T7="PC",ISNUMBER(SEARCH("436",N7))),"Field Connecting Plates PC",IF(AND(T7="PC",ISNUMBER(SEARCH("SWFP",N7))),"Super Field Connecting Plates PC",IF(AND(T7="PC",ISNUMBER(SEARCH("WFP",N7))),"Wide Field Connecting Plates PC","")))</f>
        <v/>
      </c>
      <c r="CH7" s="1" t="str">
        <f>IF(ISNUMBER(SEARCH("connecting",CG7)),((((D7/1.8)-1)*2)*E7),"")</f>
        <v/>
      </c>
      <c r="CI7" s="1" t="e">
        <f>IF($I$2="€uro",_xlfn.XLOOKUP(CG7,'PRICE LIST'!$I$4:$I$55,'PRICE LIST'!$K$4:$K$55))</f>
        <v>#N/A</v>
      </c>
      <c r="CK7" s="1" t="str">
        <f>IF(T7="PC","Galvanised GP End Plates PC","")</f>
        <v/>
      </c>
      <c r="CL7" s="1" t="str">
        <f>IF(CK7="","",E7*2)</f>
        <v/>
      </c>
      <c r="CM7" s="1" t="e">
        <f>IF($I$2="€uro",_xlfn.XLOOKUP(CK7,'PRICE LIST'!$I$4:$I$55,'PRICE LIST'!$K$4:$K$55))</f>
        <v>#N/A</v>
      </c>
      <c r="CO7" s="1" t="str">
        <f>IF(AND(T7="PC",ISNUMBER(SEARCH("SWFP",N7))),"Galvanised SWFP End Plates PC",IF(AND(T7="PC",ISNUMBER(SEARCH("WFP",N7))),"Galvanised WFP End Plates PC",IF(AND(T7="PC",ISNUMBER(SEARCH("FP",N7))),"Galvanised FP End Plates PC","")))</f>
        <v/>
      </c>
      <c r="CP7" s="1" t="str">
        <f>IF(CO7="","",E7*2)</f>
        <v/>
      </c>
      <c r="CQ7" s="1" t="e">
        <f>IF($I$2="€uro",_xlfn.XLOOKUP(CO7,'PRICE LIST'!$I$4:$I$55,'PRICE LIST'!$K$4:$K$55))</f>
        <v>#N/A</v>
      </c>
      <c r="CS7" s="1">
        <f>IF($I$2="€uro",_xlfn.XLOOKUP(CS5,'PRICE LIST'!$I$4:$I$55,'PRICE LIST'!$K$4:$K$55))</f>
        <v>71.8</v>
      </c>
    </row>
    <row r="8" spans="1:97" s="1" customFormat="1" ht="41.25" customHeight="1" x14ac:dyDescent="0.2">
      <c r="A8" s="2">
        <v>2</v>
      </c>
      <c r="B8" s="2"/>
      <c r="C8" s="3">
        <v>10.8</v>
      </c>
      <c r="D8" s="3">
        <f t="shared" si="0"/>
        <v>10.8</v>
      </c>
      <c r="E8" s="2">
        <v>1</v>
      </c>
      <c r="F8" s="7"/>
      <c r="G8" s="7"/>
      <c r="H8" s="7"/>
      <c r="I8" s="2"/>
      <c r="J8" s="2"/>
      <c r="K8" s="6"/>
      <c r="L8" s="6"/>
      <c r="M8" s="5"/>
      <c r="N8" s="2"/>
      <c r="O8" s="2"/>
      <c r="P8" s="4"/>
      <c r="Q8" s="4"/>
      <c r="R8" s="2"/>
      <c r="S8" s="2"/>
      <c r="T8" s="10"/>
      <c r="U8" s="2"/>
    </row>
    <row r="9" spans="1:97" s="1" customFormat="1" ht="41.25" customHeight="1" x14ac:dyDescent="0.2">
      <c r="A9" s="2">
        <v>3</v>
      </c>
      <c r="B9" s="2"/>
      <c r="C9" s="3"/>
      <c r="D9" s="3" t="str">
        <f t="shared" si="0"/>
        <v/>
      </c>
      <c r="E9" s="2"/>
      <c r="F9" s="7"/>
      <c r="G9" s="7"/>
      <c r="H9" s="7"/>
      <c r="I9" s="2"/>
      <c r="J9" s="2"/>
      <c r="K9" s="6"/>
      <c r="L9" s="6"/>
      <c r="M9" s="5"/>
      <c r="N9" s="2"/>
      <c r="O9" s="2"/>
      <c r="P9" s="4"/>
      <c r="Q9" s="4"/>
      <c r="R9" s="2"/>
      <c r="S9" s="2"/>
      <c r="T9" s="10"/>
      <c r="U9" s="2"/>
    </row>
    <row r="10" spans="1:97" s="1" customFormat="1" ht="41.25" customHeight="1" x14ac:dyDescent="0.2">
      <c r="A10" s="2">
        <v>4</v>
      </c>
      <c r="B10" s="2"/>
      <c r="C10" s="3"/>
      <c r="D10" s="3" t="str">
        <f t="shared" si="0"/>
        <v/>
      </c>
      <c r="E10" s="2"/>
      <c r="F10" s="7"/>
      <c r="G10" s="7"/>
      <c r="H10" s="7"/>
      <c r="I10" s="2"/>
      <c r="J10" s="2"/>
      <c r="K10" s="6"/>
      <c r="L10" s="6"/>
      <c r="M10" s="5"/>
      <c r="N10" s="2"/>
      <c r="O10" s="2"/>
      <c r="P10" s="4"/>
      <c r="Q10" s="4"/>
      <c r="R10" s="2"/>
      <c r="S10" s="2"/>
      <c r="T10" s="10"/>
      <c r="U10" s="2"/>
    </row>
    <row r="11" spans="1:97" s="1" customFormat="1" ht="41.25" customHeight="1" x14ac:dyDescent="0.2">
      <c r="A11" s="2">
        <v>5</v>
      </c>
      <c r="B11" s="2"/>
      <c r="C11" s="3"/>
      <c r="D11" s="3" t="str">
        <f t="shared" si="0"/>
        <v/>
      </c>
      <c r="E11" s="2"/>
      <c r="F11" s="7"/>
      <c r="G11" s="7"/>
      <c r="H11" s="7"/>
      <c r="I11" s="2"/>
      <c r="J11" s="2"/>
      <c r="K11" s="6"/>
      <c r="L11" s="6"/>
      <c r="M11" s="5"/>
      <c r="N11" s="2"/>
      <c r="O11" s="2"/>
      <c r="P11" s="4"/>
      <c r="Q11" s="4"/>
      <c r="R11" s="2"/>
      <c r="S11" s="2"/>
      <c r="T11" s="10"/>
      <c r="U11" s="2"/>
    </row>
    <row r="12" spans="1:97" s="1" customFormat="1" ht="41.25" customHeight="1" x14ac:dyDescent="0.2">
      <c r="A12" s="2">
        <v>6</v>
      </c>
      <c r="B12" s="2"/>
      <c r="C12" s="3"/>
      <c r="D12" s="3" t="str">
        <f t="shared" si="0"/>
        <v/>
      </c>
      <c r="E12" s="2"/>
      <c r="F12" s="7"/>
      <c r="G12" s="7"/>
      <c r="H12" s="7"/>
      <c r="I12" s="2"/>
      <c r="J12" s="2"/>
      <c r="K12" s="6"/>
      <c r="L12" s="6"/>
      <c r="M12" s="5"/>
      <c r="N12" s="2"/>
      <c r="O12" s="2"/>
      <c r="P12" s="4"/>
      <c r="Q12" s="4"/>
      <c r="R12" s="2"/>
      <c r="S12" s="2"/>
      <c r="T12" s="10"/>
      <c r="U12" s="2"/>
    </row>
    <row r="13" spans="1:97" s="1" customFormat="1" ht="41.25" customHeight="1" x14ac:dyDescent="0.2">
      <c r="A13" s="2">
        <v>7</v>
      </c>
      <c r="B13" s="2"/>
      <c r="C13" s="3"/>
      <c r="D13" s="3" t="str">
        <f t="shared" si="0"/>
        <v/>
      </c>
      <c r="E13" s="2"/>
      <c r="F13" s="7"/>
      <c r="G13" s="7"/>
      <c r="H13" s="7"/>
      <c r="I13" s="2"/>
      <c r="J13" s="2"/>
      <c r="K13" s="6"/>
      <c r="L13" s="6"/>
      <c r="M13" s="5"/>
      <c r="N13" s="2"/>
      <c r="O13" s="2"/>
      <c r="P13" s="4"/>
      <c r="Q13" s="4"/>
      <c r="R13" s="2"/>
      <c r="S13" s="2"/>
      <c r="T13" s="10"/>
      <c r="U13" s="2"/>
    </row>
    <row r="14" spans="1:97" s="1" customFormat="1" ht="41.25" customHeight="1" x14ac:dyDescent="0.2">
      <c r="A14" s="2">
        <v>8</v>
      </c>
      <c r="B14" s="2"/>
      <c r="C14" s="3"/>
      <c r="D14" s="3" t="str">
        <f t="shared" si="0"/>
        <v/>
      </c>
      <c r="E14" s="2"/>
      <c r="F14" s="7"/>
      <c r="G14" s="7"/>
      <c r="H14" s="7"/>
      <c r="I14" s="2"/>
      <c r="J14" s="2"/>
      <c r="K14" s="6"/>
      <c r="L14" s="6"/>
      <c r="M14" s="5"/>
      <c r="N14" s="2"/>
      <c r="O14" s="2"/>
      <c r="P14" s="4"/>
      <c r="Q14" s="4"/>
      <c r="R14" s="2"/>
      <c r="S14" s="2"/>
      <c r="T14" s="10"/>
      <c r="U14" s="2"/>
    </row>
    <row r="15" spans="1:97" s="1" customFormat="1" ht="41.25" customHeight="1" x14ac:dyDescent="0.2">
      <c r="A15" s="2">
        <v>9</v>
      </c>
      <c r="B15" s="2"/>
      <c r="C15" s="3"/>
      <c r="D15" s="3" t="str">
        <f t="shared" si="0"/>
        <v/>
      </c>
      <c r="E15" s="2"/>
      <c r="F15" s="7"/>
      <c r="G15" s="7"/>
      <c r="H15" s="7"/>
      <c r="I15" s="2"/>
      <c r="J15" s="2"/>
      <c r="K15" s="6"/>
      <c r="L15" s="6"/>
      <c r="M15" s="5"/>
      <c r="N15" s="2"/>
      <c r="O15" s="2"/>
      <c r="P15" s="4"/>
      <c r="Q15" s="4"/>
      <c r="R15" s="2"/>
      <c r="S15" s="2"/>
      <c r="T15" s="10"/>
      <c r="U15" s="2"/>
    </row>
    <row r="16" spans="1:97" s="1" customFormat="1" ht="41.25" customHeight="1" x14ac:dyDescent="0.2">
      <c r="A16" s="2">
        <v>10</v>
      </c>
      <c r="B16" s="2"/>
      <c r="C16" s="3"/>
      <c r="D16" s="3" t="str">
        <f t="shared" si="0"/>
        <v/>
      </c>
      <c r="E16" s="2"/>
      <c r="F16" s="7"/>
      <c r="G16" s="7"/>
      <c r="H16" s="7"/>
      <c r="I16" s="2"/>
      <c r="J16" s="2"/>
      <c r="K16" s="6"/>
      <c r="L16" s="6"/>
      <c r="M16" s="5"/>
      <c r="N16" s="2"/>
      <c r="O16" s="2"/>
      <c r="P16" s="4"/>
      <c r="Q16" s="4"/>
      <c r="R16" s="2"/>
      <c r="S16" s="2"/>
      <c r="T16" s="10"/>
      <c r="U16" s="2"/>
    </row>
    <row r="17" spans="1:21" s="1" customFormat="1" ht="41.25" customHeight="1" x14ac:dyDescent="0.2">
      <c r="A17" s="2">
        <v>11</v>
      </c>
      <c r="B17" s="2"/>
      <c r="C17" s="3"/>
      <c r="D17" s="3" t="str">
        <f t="shared" si="0"/>
        <v/>
      </c>
      <c r="E17" s="2"/>
      <c r="F17" s="7"/>
      <c r="G17" s="7"/>
      <c r="H17" s="7"/>
      <c r="I17" s="2"/>
      <c r="J17" s="2"/>
      <c r="K17" s="6"/>
      <c r="L17" s="6"/>
      <c r="M17" s="5"/>
      <c r="N17" s="2"/>
      <c r="O17" s="2"/>
      <c r="P17" s="4"/>
      <c r="Q17" s="4"/>
      <c r="R17" s="2"/>
      <c r="S17" s="2"/>
      <c r="T17" s="10"/>
      <c r="U17" s="2"/>
    </row>
    <row r="18" spans="1:21" s="1" customFormat="1" ht="41.25" customHeight="1" x14ac:dyDescent="0.2">
      <c r="A18" s="2">
        <v>12</v>
      </c>
      <c r="B18" s="2"/>
      <c r="C18" s="3"/>
      <c r="D18" s="3" t="str">
        <f t="shared" si="0"/>
        <v/>
      </c>
      <c r="E18" s="2"/>
      <c r="F18" s="7"/>
      <c r="G18" s="7"/>
      <c r="H18" s="7"/>
      <c r="I18" s="2"/>
      <c r="J18" s="2"/>
      <c r="K18" s="6"/>
      <c r="L18" s="6"/>
      <c r="M18" s="5"/>
      <c r="N18" s="2"/>
      <c r="O18" s="2"/>
      <c r="P18" s="4"/>
      <c r="Q18" s="4"/>
      <c r="R18" s="2"/>
      <c r="S18" s="2"/>
      <c r="T18" s="10"/>
      <c r="U18" s="2"/>
    </row>
    <row r="19" spans="1:21" s="1" customFormat="1" ht="41.25" customHeight="1" x14ac:dyDescent="0.2">
      <c r="A19" s="2">
        <v>13</v>
      </c>
      <c r="B19" s="2"/>
      <c r="C19" s="3"/>
      <c r="D19" s="3" t="str">
        <f t="shared" si="0"/>
        <v/>
      </c>
      <c r="E19" s="2"/>
      <c r="F19" s="7"/>
      <c r="G19" s="7"/>
      <c r="H19" s="7"/>
      <c r="I19" s="2"/>
      <c r="J19" s="2"/>
      <c r="K19" s="6"/>
      <c r="L19" s="6"/>
      <c r="M19" s="5"/>
      <c r="N19" s="2"/>
      <c r="O19" s="2"/>
      <c r="P19" s="4"/>
      <c r="Q19" s="4"/>
      <c r="R19" s="2"/>
      <c r="S19" s="2"/>
      <c r="T19" s="10"/>
      <c r="U19" s="2"/>
    </row>
    <row r="20" spans="1:21" s="1" customFormat="1" ht="41.25" customHeight="1" x14ac:dyDescent="0.2">
      <c r="A20" s="2">
        <v>14</v>
      </c>
      <c r="B20" s="2"/>
      <c r="C20" s="3"/>
      <c r="D20" s="3" t="str">
        <f t="shared" si="0"/>
        <v/>
      </c>
      <c r="E20" s="2"/>
      <c r="F20" s="7"/>
      <c r="G20" s="7"/>
      <c r="H20" s="7"/>
      <c r="I20" s="2"/>
      <c r="J20" s="2"/>
      <c r="K20" s="6"/>
      <c r="L20" s="6"/>
      <c r="M20" s="5"/>
      <c r="N20" s="2"/>
      <c r="O20" s="2"/>
      <c r="P20" s="4"/>
      <c r="Q20" s="4"/>
      <c r="R20" s="2"/>
      <c r="S20" s="2"/>
      <c r="T20" s="10"/>
      <c r="U20" s="2"/>
    </row>
    <row r="21" spans="1:21" s="1" customFormat="1" ht="41.25" customHeight="1" x14ac:dyDescent="0.2">
      <c r="A21" s="2">
        <v>15</v>
      </c>
      <c r="B21" s="2"/>
      <c r="C21" s="3"/>
      <c r="D21" s="3" t="str">
        <f t="shared" si="0"/>
        <v/>
      </c>
      <c r="E21" s="2"/>
      <c r="F21" s="7"/>
      <c r="G21" s="7"/>
      <c r="H21" s="7"/>
      <c r="I21" s="2"/>
      <c r="J21" s="2"/>
      <c r="K21" s="6"/>
      <c r="L21" s="6"/>
      <c r="M21" s="5"/>
      <c r="N21" s="2"/>
      <c r="O21" s="2"/>
      <c r="P21" s="4"/>
      <c r="Q21" s="4"/>
      <c r="R21" s="2"/>
      <c r="S21" s="2"/>
      <c r="T21" s="10"/>
      <c r="U21" s="2"/>
    </row>
    <row r="22" spans="1:21" s="1" customFormat="1" ht="41.25" customHeight="1" x14ac:dyDescent="0.2">
      <c r="A22" s="2">
        <v>16</v>
      </c>
      <c r="B22" s="2"/>
      <c r="C22" s="3"/>
      <c r="D22" s="3" t="str">
        <f t="shared" si="0"/>
        <v/>
      </c>
      <c r="E22" s="2"/>
      <c r="F22" s="7"/>
      <c r="G22" s="7"/>
      <c r="H22" s="7"/>
      <c r="I22" s="2"/>
      <c r="J22" s="2"/>
      <c r="K22" s="6"/>
      <c r="L22" s="6"/>
      <c r="M22" s="5"/>
      <c r="N22" s="2"/>
      <c r="O22" s="2"/>
      <c r="P22" s="4"/>
      <c r="Q22" s="4"/>
      <c r="R22" s="2"/>
      <c r="S22" s="2"/>
      <c r="T22" s="10"/>
      <c r="U22" s="2"/>
    </row>
    <row r="23" spans="1:21" s="1" customFormat="1" ht="41.25" customHeight="1" x14ac:dyDescent="0.2">
      <c r="A23" s="2">
        <v>17</v>
      </c>
      <c r="B23" s="2"/>
      <c r="C23" s="3"/>
      <c r="D23" s="3" t="str">
        <f t="shared" si="0"/>
        <v/>
      </c>
      <c r="E23" s="2"/>
      <c r="F23" s="7"/>
      <c r="G23" s="7"/>
      <c r="H23" s="7"/>
      <c r="I23" s="2"/>
      <c r="J23" s="2"/>
      <c r="K23" s="6"/>
      <c r="L23" s="6"/>
      <c r="M23" s="5"/>
      <c r="N23" s="2"/>
      <c r="O23" s="2"/>
      <c r="P23" s="4"/>
      <c r="Q23" s="4"/>
      <c r="R23" s="2"/>
      <c r="S23" s="2"/>
      <c r="T23" s="10"/>
      <c r="U23" s="2"/>
    </row>
    <row r="24" spans="1:21" s="1" customFormat="1" ht="41.25" customHeight="1" x14ac:dyDescent="0.2">
      <c r="A24" s="2">
        <v>18</v>
      </c>
      <c r="B24" s="2"/>
      <c r="C24" s="3"/>
      <c r="D24" s="3" t="str">
        <f t="shared" si="0"/>
        <v/>
      </c>
      <c r="E24" s="2"/>
      <c r="F24" s="7"/>
      <c r="G24" s="7"/>
      <c r="H24" s="7"/>
      <c r="I24" s="2"/>
      <c r="J24" s="2"/>
      <c r="K24" s="6"/>
      <c r="L24" s="6"/>
      <c r="M24" s="5"/>
      <c r="N24" s="2"/>
      <c r="O24" s="2"/>
      <c r="P24" s="4"/>
      <c r="Q24" s="4"/>
      <c r="R24" s="2"/>
      <c r="S24" s="2"/>
      <c r="T24" s="10"/>
      <c r="U24" s="2"/>
    </row>
    <row r="25" spans="1:21" s="1" customFormat="1" ht="41.25" customHeight="1" x14ac:dyDescent="0.2">
      <c r="A25" s="2">
        <v>19</v>
      </c>
      <c r="B25" s="2"/>
      <c r="C25" s="3"/>
      <c r="D25" s="3" t="str">
        <f t="shared" si="0"/>
        <v/>
      </c>
      <c r="E25" s="2"/>
      <c r="F25" s="7"/>
      <c r="G25" s="7"/>
      <c r="H25" s="7"/>
      <c r="I25" s="2"/>
      <c r="J25" s="2"/>
      <c r="K25" s="6"/>
      <c r="L25" s="6"/>
      <c r="M25" s="5"/>
      <c r="N25" s="2"/>
      <c r="O25" s="2"/>
      <c r="P25" s="4"/>
      <c r="Q25" s="4"/>
      <c r="R25" s="2"/>
      <c r="S25" s="2"/>
      <c r="T25" s="10"/>
      <c r="U25" s="2"/>
    </row>
    <row r="26" spans="1:21" s="1" customFormat="1" ht="41.25" customHeight="1" x14ac:dyDescent="0.2">
      <c r="A26" s="2">
        <v>20</v>
      </c>
      <c r="B26" s="2"/>
      <c r="C26" s="3"/>
      <c r="D26" s="3" t="str">
        <f t="shared" si="0"/>
        <v/>
      </c>
      <c r="E26" s="2"/>
      <c r="F26" s="7"/>
      <c r="G26" s="7"/>
      <c r="H26" s="7"/>
      <c r="I26" s="2"/>
      <c r="J26" s="2"/>
      <c r="K26" s="6"/>
      <c r="L26" s="6"/>
      <c r="M26" s="5"/>
      <c r="N26" s="2"/>
      <c r="O26" s="2"/>
      <c r="P26" s="4"/>
      <c r="Q26" s="4"/>
      <c r="R26" s="2"/>
      <c r="S26" s="2"/>
      <c r="T26" s="10"/>
      <c r="U26" s="2"/>
    </row>
    <row r="27" spans="1:21" s="1" customFormat="1" ht="41.25" customHeight="1" x14ac:dyDescent="0.2">
      <c r="A27" s="2">
        <v>21</v>
      </c>
      <c r="B27" s="2"/>
      <c r="C27" s="3"/>
      <c r="D27" s="3" t="str">
        <f t="shared" si="0"/>
        <v/>
      </c>
      <c r="E27" s="2"/>
      <c r="F27" s="7"/>
      <c r="G27" s="7"/>
      <c r="H27" s="7"/>
      <c r="I27" s="2"/>
      <c r="J27" s="2"/>
      <c r="K27" s="6"/>
      <c r="L27" s="6"/>
      <c r="M27" s="5"/>
      <c r="N27" s="2"/>
      <c r="O27" s="2"/>
      <c r="P27" s="4"/>
      <c r="Q27" s="4"/>
      <c r="R27" s="2"/>
      <c r="S27" s="2"/>
      <c r="T27" s="10"/>
      <c r="U27" s="2"/>
    </row>
    <row r="28" spans="1:21" s="1" customFormat="1" ht="41.25" customHeight="1" x14ac:dyDescent="0.2">
      <c r="A28" s="2">
        <v>22</v>
      </c>
      <c r="B28" s="2"/>
      <c r="C28" s="3"/>
      <c r="D28" s="3" t="str">
        <f t="shared" si="0"/>
        <v/>
      </c>
      <c r="E28" s="2"/>
      <c r="F28" s="7"/>
      <c r="G28" s="7"/>
      <c r="H28" s="7"/>
      <c r="I28" s="2"/>
      <c r="J28" s="2"/>
      <c r="K28" s="6"/>
      <c r="L28" s="6"/>
      <c r="M28" s="5"/>
      <c r="N28" s="2"/>
      <c r="O28" s="2"/>
      <c r="P28" s="4"/>
      <c r="Q28" s="4"/>
      <c r="R28" s="2"/>
      <c r="S28" s="2"/>
      <c r="T28" s="10"/>
      <c r="U28" s="2"/>
    </row>
    <row r="29" spans="1:21" s="1" customFormat="1" ht="41.25" customHeight="1" x14ac:dyDescent="0.2">
      <c r="A29" s="2">
        <v>23</v>
      </c>
      <c r="B29" s="2"/>
      <c r="C29" s="3"/>
      <c r="D29" s="3" t="str">
        <f t="shared" si="0"/>
        <v/>
      </c>
      <c r="E29" s="2"/>
      <c r="F29" s="7"/>
      <c r="G29" s="7"/>
      <c r="H29" s="7"/>
      <c r="I29" s="2"/>
      <c r="J29" s="2"/>
      <c r="K29" s="6"/>
      <c r="L29" s="6"/>
      <c r="M29" s="5"/>
      <c r="N29" s="2"/>
      <c r="O29" s="2"/>
      <c r="P29" s="4"/>
      <c r="Q29" s="4"/>
      <c r="R29" s="2"/>
      <c r="S29" s="2"/>
      <c r="T29" s="10"/>
      <c r="U29" s="2"/>
    </row>
    <row r="30" spans="1:21" s="1" customFormat="1" ht="41.25" customHeight="1" x14ac:dyDescent="0.2">
      <c r="A30" s="2">
        <v>24</v>
      </c>
      <c r="B30" s="2"/>
      <c r="C30" s="3"/>
      <c r="D30" s="3" t="str">
        <f t="shared" si="0"/>
        <v/>
      </c>
      <c r="E30" s="2"/>
      <c r="F30" s="7"/>
      <c r="G30" s="7"/>
      <c r="H30" s="7"/>
      <c r="I30" s="2"/>
      <c r="J30" s="2"/>
      <c r="K30" s="6"/>
      <c r="L30" s="6"/>
      <c r="M30" s="5"/>
      <c r="N30" s="2"/>
      <c r="O30" s="2"/>
      <c r="P30" s="4"/>
      <c r="Q30" s="4"/>
      <c r="R30" s="2"/>
      <c r="S30" s="2"/>
      <c r="T30" s="10"/>
      <c r="U30" s="2"/>
    </row>
    <row r="31" spans="1:21" s="1" customFormat="1" ht="41.25" customHeight="1" x14ac:dyDescent="0.2">
      <c r="A31" s="2">
        <v>25</v>
      </c>
      <c r="B31" s="2"/>
      <c r="C31" s="3"/>
      <c r="D31" s="3" t="str">
        <f t="shared" si="0"/>
        <v/>
      </c>
      <c r="E31" s="2"/>
      <c r="F31" s="7"/>
      <c r="G31" s="7"/>
      <c r="H31" s="7"/>
      <c r="I31" s="2"/>
      <c r="J31" s="2"/>
      <c r="K31" s="6"/>
      <c r="L31" s="6"/>
      <c r="M31" s="5"/>
      <c r="N31" s="2"/>
      <c r="O31" s="2"/>
      <c r="P31" s="4"/>
      <c r="Q31" s="4"/>
      <c r="R31" s="2"/>
      <c r="S31" s="2"/>
      <c r="T31" s="10"/>
      <c r="U31" s="2"/>
    </row>
    <row r="32" spans="1:21" s="1" customFormat="1" ht="41.25" customHeight="1" x14ac:dyDescent="0.2">
      <c r="A32" s="2">
        <v>26</v>
      </c>
      <c r="B32" s="2"/>
      <c r="C32" s="3"/>
      <c r="D32" s="3" t="str">
        <f t="shared" si="0"/>
        <v/>
      </c>
      <c r="E32" s="2"/>
      <c r="F32" s="7"/>
      <c r="G32" s="7"/>
      <c r="H32" s="7"/>
      <c r="I32" s="2"/>
      <c r="J32" s="2"/>
      <c r="K32" s="6"/>
      <c r="L32" s="6"/>
      <c r="M32" s="5"/>
      <c r="N32" s="2"/>
      <c r="O32" s="2"/>
      <c r="P32" s="4"/>
      <c r="Q32" s="4"/>
      <c r="R32" s="2"/>
      <c r="S32" s="2"/>
      <c r="T32" s="10"/>
      <c r="U32" s="2"/>
    </row>
    <row r="33" spans="1:21" s="1" customFormat="1" ht="41.25" customHeight="1" x14ac:dyDescent="0.2">
      <c r="A33" s="2">
        <v>27</v>
      </c>
      <c r="B33" s="2"/>
      <c r="C33" s="3"/>
      <c r="D33" s="3" t="str">
        <f t="shared" si="0"/>
        <v/>
      </c>
      <c r="E33" s="2"/>
      <c r="F33" s="7"/>
      <c r="G33" s="7"/>
      <c r="H33" s="7"/>
      <c r="I33" s="2"/>
      <c r="J33" s="2"/>
      <c r="K33" s="6"/>
      <c r="L33" s="6"/>
      <c r="M33" s="5"/>
      <c r="N33" s="2"/>
      <c r="O33" s="2"/>
      <c r="P33" s="4"/>
      <c r="Q33" s="4"/>
      <c r="R33" s="2"/>
      <c r="S33" s="2"/>
      <c r="T33" s="10"/>
      <c r="U33" s="2"/>
    </row>
    <row r="34" spans="1:21" s="1" customFormat="1" ht="41.25" customHeight="1" x14ac:dyDescent="0.2">
      <c r="A34" s="2">
        <v>28</v>
      </c>
      <c r="B34" s="2"/>
      <c r="C34" s="3"/>
      <c r="D34" s="3" t="str">
        <f t="shared" si="0"/>
        <v/>
      </c>
      <c r="E34" s="2"/>
      <c r="F34" s="7"/>
      <c r="G34" s="7"/>
      <c r="H34" s="7"/>
      <c r="I34" s="2"/>
      <c r="J34" s="2"/>
      <c r="K34" s="6"/>
      <c r="L34" s="6"/>
      <c r="M34" s="5"/>
      <c r="N34" s="2"/>
      <c r="O34" s="2"/>
      <c r="P34" s="4"/>
      <c r="Q34" s="4"/>
      <c r="R34" s="2"/>
      <c r="S34" s="2"/>
      <c r="T34" s="10"/>
      <c r="U34" s="2"/>
    </row>
    <row r="35" spans="1:21" s="1" customFormat="1" ht="41.25" customHeight="1" x14ac:dyDescent="0.2">
      <c r="A35" s="2">
        <v>29</v>
      </c>
      <c r="B35" s="2"/>
      <c r="C35" s="3"/>
      <c r="D35" s="3" t="str">
        <f t="shared" si="0"/>
        <v/>
      </c>
      <c r="E35" s="2"/>
      <c r="F35" s="7"/>
      <c r="G35" s="7"/>
      <c r="H35" s="7"/>
      <c r="I35" s="2"/>
      <c r="J35" s="2"/>
      <c r="K35" s="6"/>
      <c r="L35" s="6"/>
      <c r="M35" s="5"/>
      <c r="N35" s="2"/>
      <c r="O35" s="2"/>
      <c r="P35" s="4"/>
      <c r="Q35" s="4"/>
      <c r="R35" s="2"/>
      <c r="S35" s="2"/>
      <c r="T35" s="10"/>
      <c r="U35" s="2"/>
    </row>
    <row r="36" spans="1:21" s="1" customFormat="1" ht="41.25" customHeight="1" x14ac:dyDescent="0.2">
      <c r="A36" s="2">
        <v>30</v>
      </c>
      <c r="B36" s="2"/>
      <c r="C36" s="3"/>
      <c r="D36" s="3" t="str">
        <f t="shared" si="0"/>
        <v/>
      </c>
      <c r="E36" s="2"/>
      <c r="F36" s="7"/>
      <c r="G36" s="7"/>
      <c r="H36" s="7"/>
      <c r="I36" s="2"/>
      <c r="J36" s="2"/>
      <c r="K36" s="6"/>
      <c r="L36" s="6"/>
      <c r="M36" s="5"/>
      <c r="N36" s="2"/>
      <c r="O36" s="2"/>
      <c r="P36" s="4"/>
      <c r="Q36" s="4"/>
      <c r="R36" s="2"/>
      <c r="S36" s="2"/>
      <c r="T36" s="10"/>
      <c r="U36" s="2"/>
    </row>
  </sheetData>
  <mergeCells count="19">
    <mergeCell ref="C2:F2"/>
    <mergeCell ref="C3:F3"/>
    <mergeCell ref="C4:F4"/>
    <mergeCell ref="BU5:BX5"/>
    <mergeCell ref="BH5:BL5"/>
    <mergeCell ref="BM5:BP5"/>
    <mergeCell ref="AV5:AY5"/>
    <mergeCell ref="BQ5:BT5"/>
    <mergeCell ref="BD5:BG5"/>
    <mergeCell ref="W5:AB5"/>
    <mergeCell ref="AE5:AI5"/>
    <mergeCell ref="AL5:AP5"/>
    <mergeCell ref="AQ5:AU5"/>
    <mergeCell ref="AZ5:BC5"/>
    <mergeCell ref="CK5:CN5"/>
    <mergeCell ref="CO5:CR5"/>
    <mergeCell ref="BY5:CB5"/>
    <mergeCell ref="CC5:CF5"/>
    <mergeCell ref="CG5:CJ5"/>
  </mergeCells>
  <phoneticPr fontId="2" type="noConversion"/>
  <dataValidations count="2">
    <dataValidation type="list" allowBlank="1" showInputMessage="1" showErrorMessage="1" sqref="T8" xr:uid="{6D78378E-5FFC-495D-B691-F297CC6F3282}">
      <formula1>$W$7:$AB$7</formula1>
    </dataValidation>
    <dataValidation type="list" allowBlank="1" showInputMessage="1" showErrorMessage="1" sqref="T7" xr:uid="{29C17210-A3EF-4C08-A2B4-75AB63F56272}">
      <formula1>$W$7:$AC$7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A05A9A1-EFC7-48C3-8A81-4B5EBABFE7B6}">
          <x14:formula1>
            <xm:f>List!$B$2:$B$5</xm:f>
          </x14:formula1>
          <xm:sqref>N7</xm:sqref>
        </x14:dataValidation>
        <x14:dataValidation type="list" allowBlank="1" showInputMessage="1" showErrorMessage="1" xr:uid="{648E865C-5F63-4F29-B579-D423C83F14AA}">
          <x14:formula1>
            <xm:f>List!$D$2:$D$6</xm:f>
          </x14:formula1>
          <xm:sqref>O7</xm:sqref>
        </x14:dataValidation>
        <x14:dataValidation type="list" allowBlank="1" showInputMessage="1" showErrorMessage="1" xr:uid="{71F81442-7480-4255-A7AB-14C38E15E05D}">
          <x14:formula1>
            <xm:f>List!$F$2:$F$8</xm:f>
          </x14:formula1>
          <xm:sqref>Q7</xm:sqref>
        </x14:dataValidation>
        <x14:dataValidation type="list" allowBlank="1" showInputMessage="1" showErrorMessage="1" xr:uid="{2EFAD7E2-0AEB-48FE-9002-D05A174A6928}">
          <x14:formula1>
            <xm:f>List!$H$2:$H$3</xm:f>
          </x14:formula1>
          <xm:sqref>L7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2918-D37A-41CF-B92D-5986E15D730C}">
  <dimension ref="A1:F28"/>
  <sheetViews>
    <sheetView showOutlineSymbols="0" view="pageLayout" zoomScaleNormal="100" workbookViewId="0">
      <selection activeCell="D36" sqref="D36"/>
    </sheetView>
  </sheetViews>
  <sheetFormatPr baseColWidth="10" defaultColWidth="9.1640625" defaultRowHeight="15" x14ac:dyDescent="0.2"/>
  <cols>
    <col min="1" max="1" width="9.6640625" style="12" customWidth="1"/>
    <col min="2" max="2" width="29.1640625" style="12" customWidth="1"/>
    <col min="3" max="3" width="18.33203125" style="12" customWidth="1"/>
    <col min="4" max="4" width="10.1640625" style="12" customWidth="1"/>
    <col min="5" max="5" width="13.6640625" style="12" customWidth="1"/>
    <col min="6" max="6" width="13" style="12" customWidth="1"/>
    <col min="7" max="9" width="14.5" style="12" customWidth="1"/>
    <col min="10" max="16384" width="9.1640625" style="12"/>
  </cols>
  <sheetData>
    <row r="1" spans="1:6" x14ac:dyDescent="0.2">
      <c r="C1" s="30" t="s">
        <v>3</v>
      </c>
      <c r="D1" s="48" t="str">
        <f>'Order Summary'!C3</f>
        <v>Quote Trial 1</v>
      </c>
      <c r="E1" s="48"/>
      <c r="F1" s="48"/>
    </row>
    <row r="2" spans="1:6" x14ac:dyDescent="0.2">
      <c r="C2" s="30" t="s">
        <v>377</v>
      </c>
      <c r="D2" s="49">
        <f ca="1">TODAY()</f>
        <v>45971</v>
      </c>
      <c r="E2" s="48"/>
      <c r="F2" s="48"/>
    </row>
    <row r="3" spans="1:6" x14ac:dyDescent="0.2">
      <c r="C3" s="30" t="s">
        <v>376</v>
      </c>
      <c r="D3" s="49">
        <f ca="1">D2+90</f>
        <v>46061</v>
      </c>
      <c r="E3" s="48"/>
      <c r="F3" s="48"/>
    </row>
    <row r="4" spans="1:6" ht="16" thickBot="1" x14ac:dyDescent="0.25"/>
    <row r="5" spans="1:6" x14ac:dyDescent="0.2">
      <c r="A5" s="38" t="s">
        <v>94</v>
      </c>
      <c r="B5" s="39"/>
      <c r="C5" s="40" t="str">
        <f>'Order Summary'!B7</f>
        <v>Trial Crossing 1</v>
      </c>
      <c r="D5" s="41"/>
      <c r="E5" s="41"/>
      <c r="F5" s="42"/>
    </row>
    <row r="6" spans="1:6" x14ac:dyDescent="0.2">
      <c r="A6" s="43" t="str">
        <f>CONCATENATE('Order Summary'!E7," x ",'Order Summary'!D7,"m ",_xlfn.XLOOKUP('Order Summary'!T7,List!$G$12:$G$18,List!$F$12:$F$18)," ",_xlfn.XLOOKUP('Order Summary'!AJ7,List!$G$21:$G$25,List!$F$21:$F$25)," CROSSING(s)")</f>
        <v>2 x 7.2m LOOP EXTREME CROSSING(s)</v>
      </c>
      <c r="B6" s="44"/>
      <c r="C6" s="44"/>
      <c r="D6" s="44"/>
      <c r="E6" s="44"/>
      <c r="F6" s="45"/>
    </row>
    <row r="7" spans="1:6" x14ac:dyDescent="0.2">
      <c r="A7" s="26" t="s">
        <v>6</v>
      </c>
      <c r="B7" s="28" t="str">
        <f>'Order Summary'!F7</f>
        <v>49E1</v>
      </c>
      <c r="C7" s="30" t="s">
        <v>9</v>
      </c>
      <c r="D7" s="32" t="str">
        <f>'Order Summary'!I7</f>
        <v>5mm</v>
      </c>
      <c r="E7" s="30" t="s">
        <v>97</v>
      </c>
      <c r="F7" s="34" t="str">
        <f>IF('Order Summary'!L7="Yes","600mm","Varies")</f>
        <v>600mm</v>
      </c>
    </row>
    <row r="8" spans="1:6" x14ac:dyDescent="0.2">
      <c r="A8" s="26" t="s">
        <v>7</v>
      </c>
      <c r="B8" s="28" t="str">
        <f>'Order Summary'!G7</f>
        <v>SB8</v>
      </c>
      <c r="C8" s="30" t="s">
        <v>10</v>
      </c>
      <c r="D8" s="32" t="str">
        <f>'Order Summary'!J7</f>
        <v>N/A</v>
      </c>
      <c r="E8" s="30" t="s">
        <v>98</v>
      </c>
      <c r="F8" s="35">
        <f>'Order Summary'!M7</f>
        <v>45</v>
      </c>
    </row>
    <row r="9" spans="1:6" ht="16" thickBot="1" x14ac:dyDescent="0.25">
      <c r="A9" s="27" t="s">
        <v>8</v>
      </c>
      <c r="B9" s="29" t="str">
        <f>'Order Summary'!H7</f>
        <v>K-Type</v>
      </c>
      <c r="C9" s="31" t="s">
        <v>96</v>
      </c>
      <c r="D9" s="33">
        <f>'Order Summary'!K7</f>
        <v>1520</v>
      </c>
      <c r="E9" s="31" t="s">
        <v>99</v>
      </c>
      <c r="F9" s="36">
        <f>'Order Summary'!P7</f>
        <v>100</v>
      </c>
    </row>
    <row r="10" spans="1:6" ht="7.5" customHeight="1" x14ac:dyDescent="0.2"/>
    <row r="11" spans="1:6" ht="16" thickBot="1" x14ac:dyDescent="0.25">
      <c r="A11" s="21" t="s">
        <v>100</v>
      </c>
      <c r="B11" s="22" t="s">
        <v>101</v>
      </c>
      <c r="C11" s="22" t="s">
        <v>102</v>
      </c>
      <c r="D11" s="22" t="s">
        <v>103</v>
      </c>
      <c r="E11" s="22" t="s">
        <v>104</v>
      </c>
      <c r="F11" s="23" t="s">
        <v>105</v>
      </c>
    </row>
    <row r="12" spans="1:6" x14ac:dyDescent="0.2">
      <c r="A12" s="17" t="str">
        <f>IF(C12="","",IF(ISNUMBER(SEARCH("TC",C12)),"EXTREME",IF(ISNUMBER(SEARCH("P(B)",C12)),"PEDESTRIAN",IF(ISNUMBER(SEARCH("A(B)",C12)),"AGRICULTURAL",IF(ISNUMBER(SEARCH("JV",C12)),"RRAP","ROAD")))))</f>
        <v>EXTREME</v>
      </c>
      <c r="B12" s="17" t="str">
        <f>IF(C12="","",IF(ISNUMBER(SEARCH("WGP",C12)),"WIDE GAUGE PANEL",IF(ISNUMBER(SEARCH("NGP",C12)),"NARROW GAUGE PANEL","GAUGE PANEL")))</f>
        <v>WIDE GAUGE PANEL</v>
      </c>
      <c r="C12" s="17" t="str">
        <f>IF('Order Summary'!AM7="","",'Order Summary'!AM7)</f>
        <v xml:space="preserve">WGP TC LO </v>
      </c>
      <c r="D12" s="17">
        <f>IF(C12="","",'Order Summary'!AN7)</f>
        <v>16</v>
      </c>
      <c r="E12" s="18">
        <f>'Order Summary'!AO7</f>
        <v>927.2</v>
      </c>
      <c r="F12" s="18">
        <f>IF(D12="","",D12*E12)</f>
        <v>14835.2</v>
      </c>
    </row>
    <row r="13" spans="1:6" x14ac:dyDescent="0.2">
      <c r="A13" s="13" t="str">
        <f>IF(C13="","",IF(ISNUMBER(SEARCH("TC",C13)),"EXTREME",IF(ISNUMBER(SEARCH("P(B)",C13)),"PEDESTRIAN",IF(ISNUMBER(SEARCH("A(B)",C13)),"AGRICULTURAL",IF(ISNUMBER(SEARCH("JV",C13)),"RRAP","ROAD")))))</f>
        <v>EXTREME</v>
      </c>
      <c r="B13" s="13" t="str">
        <f>IF(C13="","",IF(ISNUMBER(SEARCH("SWFP",C13)),"SUPER WIDE FIELD PANEL",IF(ISNUMBER(SEARCH("WFP",C13)),"WIDE FIELD PANEL","FIELD PANEL")))</f>
        <v>WIDE FIELD PANEL</v>
      </c>
      <c r="C13" s="13" t="str">
        <f>IF('Order Summary'!AR7="","",'Order Summary'!AR7)</f>
        <v xml:space="preserve">WFP TC LO </v>
      </c>
      <c r="D13" s="13">
        <f>IF(C13="","",'Order Summary'!AS7)</f>
        <v>16</v>
      </c>
      <c r="E13" s="16">
        <f>IF(D13="","",'Order Summary'!AT7)</f>
        <v>839.1</v>
      </c>
      <c r="F13" s="16">
        <f t="shared" ref="F13:F26" si="0">IF(D13="","",D13*E13)</f>
        <v>13425.6</v>
      </c>
    </row>
    <row r="14" spans="1:6" x14ac:dyDescent="0.2">
      <c r="A14" s="13" t="str">
        <f>IF(C14="","",IF(ISNUMBER(SEARCH("TC",C14)),"EXTREME",IF(ISNUMBER(SEARCH("P(B)",C14)),"PEDESTRIAN",IF(ISNUMBER(SEARCH("A(B)",C14)),"AGRICULTURAL",IF(ISNUMBER(SEARCH("JV",C14)),"RRAP","ROAD")))))</f>
        <v>EXTREME</v>
      </c>
      <c r="B14" s="13" t="str">
        <f>IF(C14="","","RUBBER EDGE BEAM")</f>
        <v>RUBBER EDGE BEAM</v>
      </c>
      <c r="C14" s="13" t="str">
        <f>IF('Order Summary'!AV7="","",'Order Summary'!AV7)</f>
        <v>REB TC</v>
      </c>
      <c r="D14" s="13">
        <f>IF(C14="","",'Order Summary'!AW7)</f>
        <v>16</v>
      </c>
      <c r="E14" s="16">
        <f>IF(B14="","",'Order Summary'!AX7)</f>
        <v>365.25</v>
      </c>
      <c r="F14" s="16">
        <f t="shared" si="0"/>
        <v>5844</v>
      </c>
    </row>
    <row r="15" spans="1:6" x14ac:dyDescent="0.2">
      <c r="A15" s="13"/>
      <c r="B15" s="13" t="str">
        <f>IF('Order Summary'!AZ7="","",'Order Summary'!AZ7)</f>
        <v>CONNECT CHAIN GUARD</v>
      </c>
      <c r="C15" s="13" t="str">
        <f>IF(B15="","",_xlfn.XLOOKUP(B15,List!$B$12:$B$15,List!$C$12:$C$15))</f>
        <v>CG CONNECT</v>
      </c>
      <c r="D15" s="13">
        <f>IF(B15="","",'Order Summary'!BA7)</f>
        <v>4</v>
      </c>
      <c r="E15" s="16">
        <f>IF(B15="","",'Order Summary'!BB7)</f>
        <v>87.8</v>
      </c>
      <c r="F15" s="16">
        <f t="shared" si="0"/>
        <v>351.2</v>
      </c>
    </row>
    <row r="16" spans="1:6" x14ac:dyDescent="0.2">
      <c r="A16" s="13"/>
      <c r="B16" s="13" t="str">
        <f>IF('Order Summary'!BD7="","",'Order Summary'!BD7)</f>
        <v>Connect End Restraint</v>
      </c>
      <c r="C16" s="13" t="str">
        <f>IF(B16="","",_xlfn.XLOOKUP(B16,List!$B$17:$B$20,List!$C$17:$C$20))</f>
        <v>ER Connect</v>
      </c>
      <c r="D16" s="13">
        <f>IF(B16="","",'Order Summary'!BE7)</f>
        <v>16</v>
      </c>
      <c r="E16" s="16">
        <f>IF(B16="","",'Order Summary'!BF7)</f>
        <v>227.55</v>
      </c>
      <c r="F16" s="16">
        <f t="shared" si="0"/>
        <v>3640.8</v>
      </c>
    </row>
    <row r="17" spans="1:6" hidden="1" x14ac:dyDescent="0.2">
      <c r="A17" s="13"/>
      <c r="B17" s="13" t="str">
        <f>IF('Order Summary'!BI7="","",'Order Summary'!BH7)</f>
        <v/>
      </c>
      <c r="C17" s="13" t="str">
        <f>IF(B17="","",_xlfn.XLOOKUP(B17,List!$B$22:$B$25,List!$C$22:$C$25))</f>
        <v/>
      </c>
      <c r="D17" s="13" t="str">
        <f>IF(B17="","",'Order Summary'!BI7)</f>
        <v/>
      </c>
      <c r="E17" s="16" t="str">
        <f>IF(B17="","",'Order Summary'!BJ7)</f>
        <v/>
      </c>
      <c r="F17" s="16" t="str">
        <f t="shared" si="0"/>
        <v/>
      </c>
    </row>
    <row r="18" spans="1:6" hidden="1" x14ac:dyDescent="0.2">
      <c r="A18" s="13"/>
      <c r="B18" s="13" t="str">
        <f>IF('Order Summary'!BM7=0,"",'Order Summary'!BL7)</f>
        <v/>
      </c>
      <c r="C18" s="13" t="str">
        <f>IF(B18="","",_xlfn.XLOOKUP(B18,List!$B$22:$B$25,List!$C$22:$C$25))</f>
        <v/>
      </c>
      <c r="D18" s="13" t="str">
        <f>IF(B18="","",'Order Summary'!BM7)</f>
        <v/>
      </c>
      <c r="E18" s="16" t="str">
        <f>IF(B18="","",'Order Summary'!BN7)</f>
        <v/>
      </c>
      <c r="F18" s="16" t="str">
        <f t="shared" si="0"/>
        <v/>
      </c>
    </row>
    <row r="19" spans="1:6" x14ac:dyDescent="0.2">
      <c r="A19" s="13"/>
      <c r="B19" s="13" t="str">
        <f>IF('Order Summary'!BQ7="","",'Order Summary'!BQ7)</f>
        <v/>
      </c>
      <c r="C19" s="13" t="str">
        <f>IF(Quote!B19="","",_xlfn.XLOOKUP(B19,List!$B$28:$B$31,List!$C$28:$C$31))</f>
        <v/>
      </c>
      <c r="D19" s="13" t="str">
        <f>IF(B19="","",'Order Summary'!BR7)</f>
        <v/>
      </c>
      <c r="E19" s="16" t="str">
        <f>IF(B19="","",'Order Summary'!BS7)</f>
        <v/>
      </c>
      <c r="F19" s="16" t="str">
        <f t="shared" si="0"/>
        <v/>
      </c>
    </row>
    <row r="20" spans="1:6" hidden="1" x14ac:dyDescent="0.2">
      <c r="A20" s="13"/>
      <c r="B20" s="13" t="str">
        <f>IF('Order Summary'!BU7="","",'Order Summary'!BU7)</f>
        <v/>
      </c>
      <c r="C20" s="13" t="str">
        <f>IF(B20="","",_xlfn.XLOOKUP(B20,List!$B$33:$B$36,List!$C$33:$C$36))</f>
        <v/>
      </c>
      <c r="D20" s="13" t="str">
        <f>IF(B20="","",'Order Summary'!BV7)</f>
        <v/>
      </c>
      <c r="E20" s="16" t="str">
        <f>IF(B20="","",'Order Summary'!BW7)</f>
        <v/>
      </c>
      <c r="F20" s="16" t="str">
        <f t="shared" si="0"/>
        <v/>
      </c>
    </row>
    <row r="21" spans="1:6" x14ac:dyDescent="0.2">
      <c r="A21" s="13"/>
      <c r="B21" s="13" t="str">
        <f>IF(AND(B14="Rubber Edge Beam",'Order Summary'!D7&gt;=1.81),"Rubber Edge Beam Baseplate","")</f>
        <v>Rubber Edge Beam Baseplate</v>
      </c>
      <c r="C21" s="13" t="str">
        <f>IF(B21="","","REB Plain LCP")</f>
        <v>REB Plain LCP</v>
      </c>
      <c r="D21" s="13">
        <f>IF(B21="","",(((('Order Summary'!D7/1.8)-1)*2)*'Order Summary'!E7))</f>
        <v>12</v>
      </c>
      <c r="E21" s="16">
        <f>IF(B21="","",'Order Summary'!CS7)</f>
        <v>71.8</v>
      </c>
      <c r="F21" s="16">
        <f t="shared" si="0"/>
        <v>861.59999999999991</v>
      </c>
    </row>
    <row r="22" spans="1:6" hidden="1" x14ac:dyDescent="0.2">
      <c r="A22" s="13"/>
      <c r="B22" s="13" t="str">
        <f>IF('Order Summary'!BY7="","",'Order Summary'!BY7)</f>
        <v/>
      </c>
      <c r="C22" s="13" t="str">
        <f>IF(ISNUMBER(SEARCH("Strand",B22)),"C/W Live &amp; Dead End","")</f>
        <v/>
      </c>
      <c r="D22" s="13" t="str">
        <f>IF(B22="","",'Order Summary'!BZ7)</f>
        <v/>
      </c>
      <c r="E22" s="13"/>
      <c r="F22" s="16" t="str">
        <f t="shared" si="0"/>
        <v/>
      </c>
    </row>
    <row r="23" spans="1:6" hidden="1" x14ac:dyDescent="0.2">
      <c r="A23" s="13"/>
      <c r="B23" s="13" t="str">
        <f>IF('Order Summary'!CC7="","",'Order Summary'!CC7)</f>
        <v/>
      </c>
      <c r="C23" s="13" t="str">
        <f>IF(B23="","",_xlfn.XLOOKUP(B23,List!B38,List!C38))</f>
        <v/>
      </c>
      <c r="D23" s="13" t="str">
        <f>IF(B23="","",'Order Summary'!CD7)</f>
        <v/>
      </c>
      <c r="E23" s="13"/>
      <c r="F23" s="16" t="str">
        <f t="shared" si="0"/>
        <v/>
      </c>
    </row>
    <row r="24" spans="1:6" hidden="1" x14ac:dyDescent="0.2">
      <c r="A24" s="13"/>
      <c r="B24" s="13" t="str">
        <f>IF('Order Summary'!CG7="","",'Order Summary'!CG7)</f>
        <v/>
      </c>
      <c r="C24" s="13" t="str">
        <f>IF(B24="","",_xlfn.XLOOKUP(B24,List!$B$40:$B$42,List!$C$40:$C$42))</f>
        <v/>
      </c>
      <c r="D24" s="13" t="str">
        <f>IF(B24="","",'Order Summary'!CH7)</f>
        <v/>
      </c>
      <c r="E24" s="13"/>
      <c r="F24" s="16" t="str">
        <f t="shared" si="0"/>
        <v/>
      </c>
    </row>
    <row r="25" spans="1:6" hidden="1" x14ac:dyDescent="0.2">
      <c r="A25" s="13"/>
      <c r="B25" s="13" t="str">
        <f>IF('Order Summary'!CK7="","",'Order Summary'!CK7)</f>
        <v/>
      </c>
      <c r="C25" s="13" t="str">
        <f>IF(B25="","",_xlfn.XLOOKUP(B25,List!$B$44:$B$47,List!$C$44:$C$47))</f>
        <v/>
      </c>
      <c r="D25" s="13" t="str">
        <f>IF(B25="","",'Order Summary'!CL7)</f>
        <v/>
      </c>
      <c r="E25" s="13"/>
      <c r="F25" s="16" t="str">
        <f t="shared" si="0"/>
        <v/>
      </c>
    </row>
    <row r="26" spans="1:6" hidden="1" x14ac:dyDescent="0.2">
      <c r="A26" s="24"/>
      <c r="B26" s="24" t="str">
        <f>IF('Order Summary'!CO7="","",'Order Summary'!CO7)</f>
        <v/>
      </c>
      <c r="C26" s="24" t="str">
        <f>IF(B26="","",_xlfn.XLOOKUP(B26,List!$B$44:$B$47,List!$C$44:$C$47))</f>
        <v/>
      </c>
      <c r="D26" s="24" t="str">
        <f>IF(B26="","",'Order Summary'!CP7)</f>
        <v/>
      </c>
      <c r="E26" s="24"/>
      <c r="F26" s="25" t="str">
        <f t="shared" si="0"/>
        <v/>
      </c>
    </row>
    <row r="27" spans="1:6" ht="16" thickBot="1" x14ac:dyDescent="0.25"/>
    <row r="28" spans="1:6" ht="17" thickBot="1" x14ac:dyDescent="0.25">
      <c r="E28" s="46">
        <f>SUM(F12:F26)</f>
        <v>38958.400000000001</v>
      </c>
      <c r="F28" s="47"/>
    </row>
  </sheetData>
  <mergeCells count="7">
    <mergeCell ref="A5:B5"/>
    <mergeCell ref="C5:F5"/>
    <mergeCell ref="A6:F6"/>
    <mergeCell ref="E28:F28"/>
    <mergeCell ref="D1:F1"/>
    <mergeCell ref="D2:F2"/>
    <mergeCell ref="D3:F3"/>
  </mergeCells>
  <pageMargins left="0.14583333333333334" right="0.7" top="0.44791666666666669" bottom="0.75" header="0.3" footer="0.3"/>
  <pageSetup paperSize="9" orientation="portrait" r:id="rId1"/>
  <headerFooter>
    <oddFooter>&amp;Linfo@rosehillrail.com
+44 (0) 1422 839 610&amp;C&amp;KFF0000Please ensure Sleeper Spacings are set at 600mm Centers to Correctly Support Panels.&amp;K01+000
&amp;RRosehill Polymers LTD
Rosehill Mills, Beech Road, Sowerby Bridge, West Yorkshire, England, HX6 2JT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F0A5-3B05-4AE5-9079-5A032079E268}">
  <dimension ref="B1:K153"/>
  <sheetViews>
    <sheetView showOutlineSymbols="0" showWhiteSpace="0" topLeftCell="B1" workbookViewId="0">
      <selection activeCell="J137" sqref="J137"/>
    </sheetView>
  </sheetViews>
  <sheetFormatPr baseColWidth="10" defaultColWidth="8.83203125" defaultRowHeight="15" x14ac:dyDescent="0.2"/>
  <cols>
    <col min="4" max="4" width="14.6640625" bestFit="1" customWidth="1"/>
    <col min="5" max="5" width="14.6640625" style="20" customWidth="1"/>
    <col min="6" max="6" width="13.5" bestFit="1" customWidth="1"/>
    <col min="9" max="9" width="30.33203125" bestFit="1" customWidth="1"/>
    <col min="10" max="10" width="30.33203125" customWidth="1"/>
  </cols>
  <sheetData>
    <row r="1" spans="2:11" x14ac:dyDescent="0.2">
      <c r="E1"/>
      <c r="I1" t="s">
        <v>315</v>
      </c>
    </row>
    <row r="2" spans="2:11" x14ac:dyDescent="0.2">
      <c r="E2" t="s">
        <v>375</v>
      </c>
      <c r="F2" t="s">
        <v>157</v>
      </c>
    </row>
    <row r="3" spans="2:11" x14ac:dyDescent="0.2">
      <c r="D3" t="s">
        <v>373</v>
      </c>
      <c r="F3" s="15">
        <v>365.25</v>
      </c>
      <c r="J3" t="s">
        <v>375</v>
      </c>
      <c r="K3" t="s">
        <v>157</v>
      </c>
    </row>
    <row r="4" spans="2:11" x14ac:dyDescent="0.2">
      <c r="B4" s="50" t="s">
        <v>155</v>
      </c>
      <c r="C4" s="14"/>
      <c r="D4" t="s">
        <v>163</v>
      </c>
      <c r="E4" s="20">
        <v>183.81</v>
      </c>
      <c r="F4" s="15">
        <v>349.55</v>
      </c>
      <c r="I4" t="s">
        <v>110</v>
      </c>
      <c r="K4">
        <v>87.8</v>
      </c>
    </row>
    <row r="5" spans="2:11" x14ac:dyDescent="0.2">
      <c r="B5" s="50"/>
      <c r="C5" s="14"/>
      <c r="D5" t="s">
        <v>164</v>
      </c>
      <c r="F5" s="15"/>
      <c r="I5" t="s">
        <v>111</v>
      </c>
      <c r="K5">
        <v>59.05</v>
      </c>
    </row>
    <row r="6" spans="2:11" x14ac:dyDescent="0.2">
      <c r="B6" s="50"/>
      <c r="C6" s="14"/>
      <c r="D6" t="s">
        <v>165</v>
      </c>
      <c r="F6" s="15">
        <v>387.55</v>
      </c>
      <c r="I6" t="s">
        <v>112</v>
      </c>
      <c r="K6">
        <v>54.9</v>
      </c>
    </row>
    <row r="7" spans="2:11" x14ac:dyDescent="0.2">
      <c r="B7" s="50"/>
      <c r="C7" s="14"/>
      <c r="D7" t="s">
        <v>166</v>
      </c>
      <c r="F7" s="15">
        <v>434.2</v>
      </c>
      <c r="I7" t="s">
        <v>312</v>
      </c>
      <c r="K7">
        <v>111.4</v>
      </c>
    </row>
    <row r="8" spans="2:11" x14ac:dyDescent="0.2">
      <c r="B8" s="50"/>
      <c r="C8" s="14"/>
      <c r="D8" t="s">
        <v>167</v>
      </c>
      <c r="F8" s="15">
        <v>482.45</v>
      </c>
      <c r="I8" t="s">
        <v>117</v>
      </c>
      <c r="K8">
        <v>227.55</v>
      </c>
    </row>
    <row r="9" spans="2:11" x14ac:dyDescent="0.2">
      <c r="B9" s="50"/>
      <c r="C9" s="14"/>
      <c r="D9" t="s">
        <v>168</v>
      </c>
      <c r="F9" s="15">
        <v>401.05</v>
      </c>
      <c r="I9" t="s">
        <v>118</v>
      </c>
      <c r="K9">
        <v>227.45</v>
      </c>
    </row>
    <row r="10" spans="2:11" x14ac:dyDescent="0.2">
      <c r="B10" s="50"/>
      <c r="C10" s="14"/>
      <c r="D10" t="s">
        <v>169</v>
      </c>
      <c r="F10" s="15">
        <v>488.85</v>
      </c>
      <c r="I10" t="s">
        <v>119</v>
      </c>
      <c r="K10">
        <v>190.7</v>
      </c>
    </row>
    <row r="11" spans="2:11" x14ac:dyDescent="0.2">
      <c r="B11" s="50"/>
      <c r="C11" s="14"/>
      <c r="D11" t="s">
        <v>170</v>
      </c>
      <c r="F11" s="15">
        <v>454.35</v>
      </c>
      <c r="I11" t="s">
        <v>120</v>
      </c>
      <c r="K11">
        <v>190.7</v>
      </c>
    </row>
    <row r="12" spans="2:11" x14ac:dyDescent="0.2">
      <c r="B12" s="50"/>
      <c r="C12" s="14"/>
      <c r="D12" t="s">
        <v>171</v>
      </c>
      <c r="F12" s="15">
        <v>496.2</v>
      </c>
      <c r="I12" t="s">
        <v>142</v>
      </c>
      <c r="K12">
        <v>349.5</v>
      </c>
    </row>
    <row r="13" spans="2:11" x14ac:dyDescent="0.2">
      <c r="B13" s="50"/>
      <c r="C13" s="14"/>
      <c r="D13" t="s">
        <v>172</v>
      </c>
      <c r="F13" s="15">
        <v>551.35</v>
      </c>
      <c r="I13" t="s">
        <v>143</v>
      </c>
      <c r="K13">
        <v>213.05</v>
      </c>
    </row>
    <row r="14" spans="2:11" x14ac:dyDescent="0.2">
      <c r="B14" s="50"/>
      <c r="C14" s="14"/>
      <c r="D14" t="s">
        <v>173</v>
      </c>
      <c r="F14" s="15">
        <v>438.55</v>
      </c>
      <c r="I14" t="s">
        <v>317</v>
      </c>
      <c r="K14">
        <v>152.44999999999999</v>
      </c>
    </row>
    <row r="15" spans="2:11" x14ac:dyDescent="0.2">
      <c r="B15" s="50"/>
      <c r="C15" s="14"/>
      <c r="D15" t="s">
        <v>174</v>
      </c>
      <c r="F15" s="15">
        <v>536.04999999999995</v>
      </c>
      <c r="I15" t="s">
        <v>316</v>
      </c>
      <c r="K15">
        <v>122.15</v>
      </c>
    </row>
    <row r="16" spans="2:11" x14ac:dyDescent="0.2">
      <c r="B16" s="50"/>
      <c r="C16" s="14"/>
      <c r="D16" t="s">
        <v>175</v>
      </c>
      <c r="F16" s="15">
        <v>488.9</v>
      </c>
      <c r="I16" t="s">
        <v>146</v>
      </c>
      <c r="K16">
        <v>127.5</v>
      </c>
    </row>
    <row r="17" spans="2:11" x14ac:dyDescent="0.2">
      <c r="B17" s="50"/>
      <c r="C17" s="14"/>
      <c r="D17" t="s">
        <v>176</v>
      </c>
      <c r="F17" s="15">
        <v>540.70000000000005</v>
      </c>
      <c r="I17" t="s">
        <v>147</v>
      </c>
      <c r="K17">
        <v>46.8</v>
      </c>
    </row>
    <row r="18" spans="2:11" x14ac:dyDescent="0.2">
      <c r="B18" s="50"/>
      <c r="C18" s="14"/>
      <c r="D18" t="s">
        <v>177</v>
      </c>
      <c r="F18" s="15">
        <v>600.75</v>
      </c>
      <c r="I18" t="s">
        <v>318</v>
      </c>
    </row>
    <row r="19" spans="2:11" x14ac:dyDescent="0.2">
      <c r="B19" s="50"/>
      <c r="C19" s="14"/>
      <c r="D19" t="s">
        <v>178</v>
      </c>
      <c r="F19" s="15">
        <v>333.55</v>
      </c>
      <c r="I19" t="s">
        <v>162</v>
      </c>
      <c r="K19">
        <v>122.6</v>
      </c>
    </row>
    <row r="20" spans="2:11" x14ac:dyDescent="0.2">
      <c r="B20" s="50"/>
      <c r="C20" s="14"/>
      <c r="D20" t="s">
        <v>179</v>
      </c>
      <c r="F20" s="15">
        <v>427.05</v>
      </c>
      <c r="I20" t="s">
        <v>153</v>
      </c>
      <c r="K20">
        <v>59.9</v>
      </c>
    </row>
    <row r="21" spans="2:11" x14ac:dyDescent="0.2">
      <c r="B21" s="50"/>
      <c r="C21" s="14"/>
      <c r="D21" t="s">
        <v>180</v>
      </c>
      <c r="F21" s="15">
        <v>426.35</v>
      </c>
      <c r="I21" t="s">
        <v>319</v>
      </c>
      <c r="K21">
        <v>59.9</v>
      </c>
    </row>
    <row r="22" spans="2:11" x14ac:dyDescent="0.2">
      <c r="B22" s="50"/>
      <c r="C22" s="14"/>
      <c r="D22" t="s">
        <v>181</v>
      </c>
      <c r="F22" s="15">
        <v>421.05</v>
      </c>
      <c r="I22" t="s">
        <v>151</v>
      </c>
    </row>
    <row r="23" spans="2:11" x14ac:dyDescent="0.2">
      <c r="B23" s="50"/>
      <c r="C23" s="14"/>
      <c r="D23" t="s">
        <v>182</v>
      </c>
      <c r="F23" s="15">
        <v>467.75</v>
      </c>
      <c r="I23" t="s">
        <v>152</v>
      </c>
      <c r="K23">
        <v>46.65</v>
      </c>
    </row>
    <row r="24" spans="2:11" x14ac:dyDescent="0.2">
      <c r="B24" s="50"/>
      <c r="C24" s="14"/>
      <c r="D24" t="s">
        <v>183</v>
      </c>
      <c r="F24" s="15">
        <v>389.75</v>
      </c>
      <c r="I24" t="s">
        <v>353</v>
      </c>
    </row>
    <row r="25" spans="2:11" x14ac:dyDescent="0.2">
      <c r="B25" s="50"/>
      <c r="C25" s="14"/>
      <c r="D25" t="s">
        <v>184</v>
      </c>
      <c r="F25" s="15">
        <v>476.35</v>
      </c>
      <c r="I25" t="s">
        <v>354</v>
      </c>
    </row>
    <row r="26" spans="2:11" x14ac:dyDescent="0.2">
      <c r="B26" s="50"/>
      <c r="C26" s="14"/>
      <c r="D26" t="s">
        <v>185</v>
      </c>
      <c r="F26" s="15">
        <v>447.45</v>
      </c>
      <c r="I26" t="s">
        <v>355</v>
      </c>
    </row>
    <row r="27" spans="2:11" x14ac:dyDescent="0.2">
      <c r="B27" s="50"/>
      <c r="C27" s="14"/>
      <c r="D27" t="s">
        <v>186</v>
      </c>
      <c r="F27" s="15">
        <v>496.1</v>
      </c>
      <c r="I27" t="s">
        <v>356</v>
      </c>
    </row>
    <row r="28" spans="2:11" x14ac:dyDescent="0.2">
      <c r="B28" s="50"/>
      <c r="C28" s="14"/>
      <c r="D28" t="s">
        <v>187</v>
      </c>
      <c r="F28" s="15">
        <v>551.20000000000005</v>
      </c>
      <c r="I28" t="s">
        <v>365</v>
      </c>
    </row>
    <row r="29" spans="2:11" x14ac:dyDescent="0.2">
      <c r="B29" s="50"/>
      <c r="C29" s="14"/>
      <c r="D29" t="s">
        <v>188</v>
      </c>
      <c r="F29" s="15">
        <v>430.8</v>
      </c>
      <c r="I29" t="s">
        <v>367</v>
      </c>
    </row>
    <row r="30" spans="2:11" x14ac:dyDescent="0.2">
      <c r="B30" s="50"/>
      <c r="C30" s="14"/>
      <c r="D30" t="s">
        <v>189</v>
      </c>
      <c r="F30" s="15"/>
      <c r="I30" t="s">
        <v>369</v>
      </c>
    </row>
    <row r="31" spans="2:11" x14ac:dyDescent="0.2">
      <c r="B31" s="50"/>
      <c r="C31" s="14"/>
      <c r="D31" t="s">
        <v>190</v>
      </c>
      <c r="F31" s="15">
        <v>496.75</v>
      </c>
      <c r="I31" t="s">
        <v>371</v>
      </c>
    </row>
    <row r="32" spans="2:11" x14ac:dyDescent="0.2">
      <c r="B32" s="50"/>
      <c r="C32" s="14"/>
      <c r="D32" t="s">
        <v>191</v>
      </c>
      <c r="F32" s="15"/>
      <c r="I32" t="s">
        <v>374</v>
      </c>
      <c r="K32">
        <v>71.8</v>
      </c>
    </row>
    <row r="33" spans="2:9" x14ac:dyDescent="0.2">
      <c r="B33" s="50"/>
      <c r="C33" s="14"/>
      <c r="D33" t="s">
        <v>192</v>
      </c>
      <c r="F33" s="15"/>
      <c r="I33" t="s">
        <v>327</v>
      </c>
    </row>
    <row r="34" spans="2:9" x14ac:dyDescent="0.2">
      <c r="B34" s="50" t="s">
        <v>133</v>
      </c>
      <c r="C34" s="14"/>
      <c r="D34" t="s">
        <v>193</v>
      </c>
      <c r="F34" s="15">
        <v>512.70000000000005</v>
      </c>
      <c r="I34" t="s">
        <v>328</v>
      </c>
    </row>
    <row r="35" spans="2:9" x14ac:dyDescent="0.2">
      <c r="B35" s="50"/>
      <c r="C35" s="14"/>
      <c r="D35" t="s">
        <v>194</v>
      </c>
      <c r="F35" s="15"/>
      <c r="I35" t="s">
        <v>329</v>
      </c>
    </row>
    <row r="36" spans="2:9" x14ac:dyDescent="0.2">
      <c r="B36" s="50"/>
      <c r="C36" s="14"/>
      <c r="D36" t="s">
        <v>195</v>
      </c>
      <c r="F36" s="15">
        <v>641.04999999999995</v>
      </c>
      <c r="I36" t="s">
        <v>330</v>
      </c>
    </row>
    <row r="37" spans="2:9" x14ac:dyDescent="0.2">
      <c r="B37" s="50"/>
      <c r="C37" s="14"/>
      <c r="D37" t="s">
        <v>196</v>
      </c>
      <c r="F37" s="15"/>
      <c r="I37" t="s">
        <v>331</v>
      </c>
    </row>
    <row r="38" spans="2:9" x14ac:dyDescent="0.2">
      <c r="B38" s="50"/>
      <c r="C38" s="14"/>
      <c r="D38" t="s">
        <v>197</v>
      </c>
      <c r="F38" s="15"/>
      <c r="I38" t="s">
        <v>332</v>
      </c>
    </row>
    <row r="39" spans="2:9" x14ac:dyDescent="0.2">
      <c r="B39" s="50"/>
      <c r="C39" s="14"/>
      <c r="D39" t="s">
        <v>198</v>
      </c>
      <c r="F39" s="15">
        <v>649.04999999999995</v>
      </c>
      <c r="I39" t="s">
        <v>333</v>
      </c>
    </row>
    <row r="40" spans="2:9" x14ac:dyDescent="0.2">
      <c r="B40" s="50"/>
      <c r="C40" s="14"/>
      <c r="D40" t="s">
        <v>199</v>
      </c>
      <c r="F40" s="15"/>
      <c r="I40" t="s">
        <v>334</v>
      </c>
    </row>
    <row r="41" spans="2:9" x14ac:dyDescent="0.2">
      <c r="B41" s="50"/>
      <c r="C41" s="14"/>
      <c r="D41" t="s">
        <v>200</v>
      </c>
      <c r="F41" s="15">
        <v>731.15</v>
      </c>
      <c r="I41" t="s">
        <v>335</v>
      </c>
    </row>
    <row r="42" spans="2:9" x14ac:dyDescent="0.2">
      <c r="B42" s="50"/>
      <c r="C42" s="14"/>
      <c r="D42" t="s">
        <v>201</v>
      </c>
      <c r="F42" s="15">
        <v>779.25</v>
      </c>
      <c r="I42" t="s">
        <v>336</v>
      </c>
    </row>
    <row r="43" spans="2:9" x14ac:dyDescent="0.2">
      <c r="B43" s="50"/>
      <c r="C43" s="14"/>
      <c r="D43" t="s">
        <v>202</v>
      </c>
      <c r="F43" s="15">
        <v>865.7</v>
      </c>
      <c r="I43" t="s">
        <v>337</v>
      </c>
    </row>
    <row r="44" spans="2:9" x14ac:dyDescent="0.2">
      <c r="B44" s="50"/>
      <c r="C44" s="14"/>
      <c r="D44" t="s">
        <v>203</v>
      </c>
      <c r="F44" s="15">
        <v>686.85</v>
      </c>
      <c r="I44" t="s">
        <v>338</v>
      </c>
    </row>
    <row r="45" spans="2:9" x14ac:dyDescent="0.2">
      <c r="B45" s="50"/>
      <c r="C45" s="14"/>
      <c r="D45" t="s">
        <v>204</v>
      </c>
      <c r="F45" s="15"/>
      <c r="I45" t="s">
        <v>339</v>
      </c>
    </row>
    <row r="46" spans="2:9" x14ac:dyDescent="0.2">
      <c r="B46" s="50"/>
      <c r="C46" s="14"/>
      <c r="D46" t="s">
        <v>205</v>
      </c>
      <c r="F46" s="15"/>
      <c r="I46" t="s">
        <v>340</v>
      </c>
    </row>
    <row r="47" spans="2:9" x14ac:dyDescent="0.2">
      <c r="B47" s="50"/>
      <c r="C47" s="14"/>
      <c r="D47" t="s">
        <v>206</v>
      </c>
      <c r="F47" s="15">
        <v>834.5</v>
      </c>
      <c r="I47" t="s">
        <v>341</v>
      </c>
    </row>
    <row r="48" spans="2:9" x14ac:dyDescent="0.2">
      <c r="B48" s="50"/>
      <c r="C48" s="14"/>
      <c r="D48" t="s">
        <v>207</v>
      </c>
      <c r="F48" s="15">
        <v>927.2</v>
      </c>
      <c r="I48" t="s">
        <v>342</v>
      </c>
    </row>
    <row r="49" spans="2:9" x14ac:dyDescent="0.2">
      <c r="B49" s="50"/>
      <c r="C49" s="14"/>
      <c r="D49" t="s">
        <v>208</v>
      </c>
      <c r="F49" s="15">
        <v>598.70000000000005</v>
      </c>
      <c r="I49" t="s">
        <v>343</v>
      </c>
    </row>
    <row r="50" spans="2:9" x14ac:dyDescent="0.2">
      <c r="B50" s="50"/>
      <c r="C50" s="14"/>
      <c r="D50" t="s">
        <v>209</v>
      </c>
      <c r="F50" s="15"/>
      <c r="I50" t="s">
        <v>344</v>
      </c>
    </row>
    <row r="51" spans="2:9" x14ac:dyDescent="0.2">
      <c r="B51" s="50"/>
      <c r="C51" s="14"/>
      <c r="D51" t="s">
        <v>210</v>
      </c>
      <c r="F51" s="15">
        <v>671.9</v>
      </c>
      <c r="I51" t="s">
        <v>345</v>
      </c>
    </row>
    <row r="52" spans="2:9" x14ac:dyDescent="0.2">
      <c r="B52" s="50"/>
      <c r="C52" s="14"/>
      <c r="D52" t="s">
        <v>211</v>
      </c>
      <c r="F52" s="15">
        <v>706.55</v>
      </c>
      <c r="I52" t="s">
        <v>346</v>
      </c>
    </row>
    <row r="53" spans="2:9" x14ac:dyDescent="0.2">
      <c r="B53" s="50"/>
      <c r="C53" s="14"/>
      <c r="D53" t="s">
        <v>212</v>
      </c>
      <c r="F53" s="15">
        <v>785.05</v>
      </c>
      <c r="I53" t="s">
        <v>347</v>
      </c>
    </row>
    <row r="54" spans="2:9" x14ac:dyDescent="0.2">
      <c r="B54" s="50"/>
      <c r="C54" s="14"/>
      <c r="D54" t="s">
        <v>213</v>
      </c>
      <c r="F54" s="15">
        <v>652.35</v>
      </c>
      <c r="I54" t="s">
        <v>348</v>
      </c>
    </row>
    <row r="55" spans="2:9" x14ac:dyDescent="0.2">
      <c r="B55" s="50"/>
      <c r="C55" s="14"/>
      <c r="D55" t="s">
        <v>214</v>
      </c>
      <c r="F55" s="15"/>
      <c r="I55" t="s">
        <v>349</v>
      </c>
    </row>
    <row r="56" spans="2:9" x14ac:dyDescent="0.2">
      <c r="B56" s="50"/>
      <c r="C56" s="14"/>
      <c r="D56" t="s">
        <v>215</v>
      </c>
      <c r="F56" s="15"/>
    </row>
    <row r="57" spans="2:9" x14ac:dyDescent="0.2">
      <c r="B57" s="50"/>
      <c r="C57" s="14"/>
      <c r="D57" t="s">
        <v>216</v>
      </c>
      <c r="F57" s="15">
        <v>755.2</v>
      </c>
    </row>
    <row r="58" spans="2:9" x14ac:dyDescent="0.2">
      <c r="B58" s="50"/>
      <c r="C58" s="14"/>
      <c r="D58" t="s">
        <v>217</v>
      </c>
      <c r="F58" s="15">
        <v>839.1</v>
      </c>
    </row>
    <row r="59" spans="2:9" x14ac:dyDescent="0.2">
      <c r="B59" s="50"/>
      <c r="C59" s="14"/>
      <c r="D59" t="s">
        <v>218</v>
      </c>
      <c r="F59" s="15">
        <v>783.05</v>
      </c>
    </row>
    <row r="60" spans="2:9" x14ac:dyDescent="0.2">
      <c r="B60" s="50"/>
      <c r="C60" s="14"/>
      <c r="D60" t="s">
        <v>219</v>
      </c>
      <c r="F60" s="15"/>
    </row>
    <row r="61" spans="2:9" x14ac:dyDescent="0.2">
      <c r="B61" s="50"/>
      <c r="C61" s="14"/>
      <c r="D61" t="s">
        <v>220</v>
      </c>
      <c r="F61" s="15"/>
    </row>
    <row r="62" spans="2:9" x14ac:dyDescent="0.2">
      <c r="B62" s="50"/>
      <c r="C62" s="14"/>
      <c r="D62" t="s">
        <v>221</v>
      </c>
      <c r="F62" s="15">
        <v>837.65</v>
      </c>
    </row>
    <row r="63" spans="2:9" x14ac:dyDescent="0.2">
      <c r="B63" s="50"/>
      <c r="C63" s="14"/>
      <c r="D63" t="s">
        <v>222</v>
      </c>
      <c r="F63" s="15">
        <v>930.75</v>
      </c>
    </row>
    <row r="64" spans="2:9" x14ac:dyDescent="0.2">
      <c r="B64" s="50" t="s">
        <v>134</v>
      </c>
      <c r="C64" s="14"/>
      <c r="D64" t="s">
        <v>223</v>
      </c>
      <c r="F64" s="15"/>
    </row>
    <row r="65" spans="2:6" x14ac:dyDescent="0.2">
      <c r="B65" s="50"/>
      <c r="C65" s="14"/>
      <c r="D65" t="s">
        <v>224</v>
      </c>
      <c r="F65" s="15"/>
    </row>
    <row r="66" spans="2:6" x14ac:dyDescent="0.2">
      <c r="B66" s="50"/>
      <c r="C66" s="14"/>
      <c r="D66" t="s">
        <v>225</v>
      </c>
      <c r="F66" s="15"/>
    </row>
    <row r="67" spans="2:6" x14ac:dyDescent="0.2">
      <c r="B67" s="50"/>
      <c r="C67" s="14"/>
      <c r="D67" t="s">
        <v>226</v>
      </c>
      <c r="F67" s="15"/>
    </row>
    <row r="68" spans="2:6" x14ac:dyDescent="0.2">
      <c r="B68" s="50"/>
      <c r="C68" s="14"/>
      <c r="D68" t="s">
        <v>227</v>
      </c>
      <c r="F68" s="15"/>
    </row>
    <row r="69" spans="2:6" x14ac:dyDescent="0.2">
      <c r="B69" s="50"/>
      <c r="C69" s="14"/>
      <c r="D69" t="s">
        <v>228</v>
      </c>
      <c r="F69" s="15"/>
    </row>
    <row r="70" spans="2:6" x14ac:dyDescent="0.2">
      <c r="B70" s="50"/>
      <c r="C70" s="14"/>
      <c r="D70" t="s">
        <v>229</v>
      </c>
      <c r="F70" s="15"/>
    </row>
    <row r="71" spans="2:6" x14ac:dyDescent="0.2">
      <c r="B71" s="50"/>
      <c r="C71" s="14"/>
      <c r="D71" t="s">
        <v>161</v>
      </c>
      <c r="F71" s="15">
        <v>826.55</v>
      </c>
    </row>
    <row r="72" spans="2:6" x14ac:dyDescent="0.2">
      <c r="B72" s="50"/>
      <c r="C72" s="14"/>
      <c r="D72" t="s">
        <v>230</v>
      </c>
      <c r="F72" s="15"/>
    </row>
    <row r="73" spans="2:6" x14ac:dyDescent="0.2">
      <c r="B73" s="50"/>
      <c r="C73" s="14"/>
      <c r="D73" t="s">
        <v>231</v>
      </c>
      <c r="F73" s="15"/>
    </row>
    <row r="74" spans="2:6" x14ac:dyDescent="0.2">
      <c r="B74" s="50"/>
      <c r="C74" s="14"/>
      <c r="D74" t="s">
        <v>232</v>
      </c>
      <c r="F74" s="15"/>
    </row>
    <row r="75" spans="2:6" x14ac:dyDescent="0.2">
      <c r="B75" s="50"/>
      <c r="C75" s="14"/>
      <c r="D75" t="s">
        <v>233</v>
      </c>
      <c r="F75" s="15"/>
    </row>
    <row r="76" spans="2:6" x14ac:dyDescent="0.2">
      <c r="B76" s="50"/>
      <c r="C76" s="14"/>
      <c r="D76" t="s">
        <v>234</v>
      </c>
      <c r="F76" s="15"/>
    </row>
    <row r="77" spans="2:6" x14ac:dyDescent="0.2">
      <c r="B77" s="50"/>
      <c r="C77" s="14"/>
      <c r="D77" t="s">
        <v>235</v>
      </c>
      <c r="F77" s="15"/>
    </row>
    <row r="78" spans="2:6" x14ac:dyDescent="0.2">
      <c r="B78" s="50"/>
      <c r="C78" s="14"/>
      <c r="D78" t="s">
        <v>236</v>
      </c>
      <c r="F78" s="15"/>
    </row>
    <row r="79" spans="2:6" x14ac:dyDescent="0.2">
      <c r="B79" s="50"/>
      <c r="C79" s="14"/>
      <c r="D79" t="s">
        <v>237</v>
      </c>
      <c r="F79" s="15"/>
    </row>
    <row r="80" spans="2:6" x14ac:dyDescent="0.2">
      <c r="B80" s="50"/>
      <c r="C80" s="14"/>
      <c r="D80" t="s">
        <v>238</v>
      </c>
      <c r="F80" s="15"/>
    </row>
    <row r="81" spans="2:6" x14ac:dyDescent="0.2">
      <c r="B81" s="50"/>
      <c r="C81" s="14"/>
      <c r="D81" t="s">
        <v>239</v>
      </c>
      <c r="F81" s="15">
        <v>705.25</v>
      </c>
    </row>
    <row r="82" spans="2:6" x14ac:dyDescent="0.2">
      <c r="B82" s="50"/>
      <c r="C82" s="14"/>
      <c r="D82" t="s">
        <v>240</v>
      </c>
      <c r="F82" s="15"/>
    </row>
    <row r="83" spans="2:6" x14ac:dyDescent="0.2">
      <c r="B83" s="50"/>
      <c r="C83" s="14"/>
      <c r="D83" t="s">
        <v>241</v>
      </c>
      <c r="F83" s="15"/>
    </row>
    <row r="84" spans="2:6" x14ac:dyDescent="0.2">
      <c r="B84" s="50"/>
      <c r="C84" s="14"/>
      <c r="D84" t="s">
        <v>242</v>
      </c>
      <c r="F84" s="15"/>
    </row>
    <row r="85" spans="2:6" x14ac:dyDescent="0.2">
      <c r="B85" s="50"/>
      <c r="C85" s="14"/>
      <c r="D85" t="s">
        <v>243</v>
      </c>
      <c r="F85" s="15"/>
    </row>
    <row r="86" spans="2:6" x14ac:dyDescent="0.2">
      <c r="B86" s="50"/>
      <c r="C86" s="14"/>
      <c r="D86" t="s">
        <v>244</v>
      </c>
      <c r="F86" s="15">
        <v>766.25</v>
      </c>
    </row>
    <row r="87" spans="2:6" x14ac:dyDescent="0.2">
      <c r="B87" s="50"/>
      <c r="C87" s="14"/>
      <c r="D87" t="s">
        <v>245</v>
      </c>
      <c r="F87" s="15"/>
    </row>
    <row r="88" spans="2:6" x14ac:dyDescent="0.2">
      <c r="B88" s="50"/>
      <c r="C88" s="14"/>
      <c r="D88" t="s">
        <v>246</v>
      </c>
      <c r="F88" s="15"/>
    </row>
    <row r="89" spans="2:6" x14ac:dyDescent="0.2">
      <c r="B89" s="50"/>
      <c r="C89" s="14"/>
      <c r="D89" t="s">
        <v>247</v>
      </c>
      <c r="F89" s="15"/>
    </row>
    <row r="90" spans="2:6" x14ac:dyDescent="0.2">
      <c r="B90" s="50"/>
      <c r="C90" s="14"/>
      <c r="D90" t="s">
        <v>248</v>
      </c>
      <c r="F90" s="15"/>
    </row>
    <row r="91" spans="2:6" x14ac:dyDescent="0.2">
      <c r="B91" s="50"/>
      <c r="C91" s="14"/>
      <c r="D91" t="s">
        <v>249</v>
      </c>
      <c r="F91" s="15">
        <v>877.9</v>
      </c>
    </row>
    <row r="92" spans="2:6" x14ac:dyDescent="0.2">
      <c r="B92" s="50"/>
      <c r="C92" s="14"/>
      <c r="D92" t="s">
        <v>250</v>
      </c>
      <c r="F92" s="15"/>
    </row>
    <row r="93" spans="2:6" x14ac:dyDescent="0.2">
      <c r="B93" s="50"/>
      <c r="C93" s="14"/>
      <c r="D93" t="s">
        <v>251</v>
      </c>
      <c r="F93" s="15"/>
    </row>
    <row r="94" spans="2:6" x14ac:dyDescent="0.2">
      <c r="B94" s="50" t="s">
        <v>156</v>
      </c>
      <c r="C94" s="14"/>
      <c r="D94" t="s">
        <v>252</v>
      </c>
      <c r="F94" s="15">
        <v>531.15</v>
      </c>
    </row>
    <row r="95" spans="2:6" x14ac:dyDescent="0.2">
      <c r="B95" s="50"/>
      <c r="C95" s="14"/>
      <c r="D95" t="s">
        <v>253</v>
      </c>
      <c r="F95" s="15"/>
    </row>
    <row r="96" spans="2:6" x14ac:dyDescent="0.2">
      <c r="B96" s="50"/>
      <c r="C96" s="14"/>
      <c r="D96" t="s">
        <v>254</v>
      </c>
      <c r="F96" s="15">
        <v>598.6</v>
      </c>
    </row>
    <row r="97" spans="2:6" x14ac:dyDescent="0.2">
      <c r="B97" s="50"/>
      <c r="C97" s="14"/>
      <c r="D97" t="s">
        <v>255</v>
      </c>
      <c r="F97" s="15"/>
    </row>
    <row r="98" spans="2:6" x14ac:dyDescent="0.2">
      <c r="B98" s="50"/>
      <c r="C98" s="14"/>
      <c r="D98" t="s">
        <v>256</v>
      </c>
      <c r="F98" s="15">
        <v>635.79999999999995</v>
      </c>
    </row>
    <row r="99" spans="2:6" x14ac:dyDescent="0.2">
      <c r="B99" s="50"/>
      <c r="C99" s="14"/>
      <c r="D99" t="s">
        <v>257</v>
      </c>
      <c r="F99" s="15">
        <v>570.79999999999995</v>
      </c>
    </row>
    <row r="100" spans="2:6" x14ac:dyDescent="0.2">
      <c r="B100" s="50"/>
      <c r="C100" s="14"/>
      <c r="D100" t="s">
        <v>258</v>
      </c>
      <c r="F100" s="15"/>
    </row>
    <row r="101" spans="2:6" x14ac:dyDescent="0.2">
      <c r="B101" s="50"/>
      <c r="C101" s="14"/>
      <c r="D101" t="s">
        <v>259</v>
      </c>
      <c r="F101" s="15">
        <v>645.95000000000005</v>
      </c>
    </row>
    <row r="102" spans="2:6" x14ac:dyDescent="0.2">
      <c r="B102" s="50"/>
      <c r="C102" s="14"/>
      <c r="D102" t="s">
        <v>260</v>
      </c>
      <c r="F102" s="15"/>
    </row>
    <row r="103" spans="2:6" x14ac:dyDescent="0.2">
      <c r="B103" s="50"/>
      <c r="C103" s="14"/>
      <c r="D103" t="s">
        <v>261</v>
      </c>
      <c r="F103" s="15">
        <v>696.9</v>
      </c>
    </row>
    <row r="104" spans="2:6" x14ac:dyDescent="0.2">
      <c r="B104" s="50"/>
      <c r="C104" s="14"/>
      <c r="D104" t="s">
        <v>262</v>
      </c>
      <c r="F104" s="15">
        <v>608.6</v>
      </c>
    </row>
    <row r="105" spans="2:6" x14ac:dyDescent="0.2">
      <c r="B105" s="50"/>
      <c r="C105" s="14"/>
      <c r="D105" t="s">
        <v>263</v>
      </c>
      <c r="F105" s="15"/>
    </row>
    <row r="106" spans="2:6" x14ac:dyDescent="0.2">
      <c r="B106" s="50"/>
      <c r="C106" s="14"/>
      <c r="D106" t="s">
        <v>264</v>
      </c>
      <c r="F106" s="15">
        <v>691.35</v>
      </c>
    </row>
    <row r="107" spans="2:6" x14ac:dyDescent="0.2">
      <c r="B107" s="50"/>
      <c r="C107" s="14"/>
      <c r="D107" t="s">
        <v>265</v>
      </c>
      <c r="F107" s="15"/>
    </row>
    <row r="108" spans="2:6" x14ac:dyDescent="0.2">
      <c r="B108" s="50"/>
      <c r="C108" s="14"/>
      <c r="D108" t="s">
        <v>266</v>
      </c>
      <c r="F108" s="15">
        <v>755.65</v>
      </c>
    </row>
    <row r="109" spans="2:6" x14ac:dyDescent="0.2">
      <c r="B109" s="50"/>
      <c r="C109" s="14"/>
      <c r="D109" t="s">
        <v>267</v>
      </c>
      <c r="F109" s="15">
        <v>520.45000000000005</v>
      </c>
    </row>
    <row r="110" spans="2:6" x14ac:dyDescent="0.2">
      <c r="B110" s="50"/>
      <c r="C110" s="14"/>
      <c r="D110" t="s">
        <v>268</v>
      </c>
      <c r="F110" s="15"/>
    </row>
    <row r="111" spans="2:6" x14ac:dyDescent="0.2">
      <c r="B111" s="50"/>
      <c r="C111" s="14"/>
      <c r="D111" t="s">
        <v>269</v>
      </c>
      <c r="F111" s="15">
        <v>585.75</v>
      </c>
    </row>
    <row r="112" spans="2:6" x14ac:dyDescent="0.2">
      <c r="B112" s="50"/>
      <c r="C112" s="14"/>
      <c r="D112" t="s">
        <v>270</v>
      </c>
      <c r="F112" s="15"/>
    </row>
    <row r="113" spans="2:6" x14ac:dyDescent="0.2">
      <c r="B113" s="50"/>
      <c r="C113" s="14"/>
      <c r="D113" t="s">
        <v>271</v>
      </c>
      <c r="F113" s="15">
        <v>618.5</v>
      </c>
    </row>
    <row r="114" spans="2:6" x14ac:dyDescent="0.2">
      <c r="B114" s="50"/>
      <c r="C114" s="14"/>
      <c r="D114" t="s">
        <v>272</v>
      </c>
      <c r="F114" s="15">
        <v>575.1</v>
      </c>
    </row>
    <row r="115" spans="2:6" x14ac:dyDescent="0.2">
      <c r="B115" s="50"/>
      <c r="C115" s="14"/>
      <c r="D115" t="s">
        <v>273</v>
      </c>
      <c r="F115" s="15"/>
    </row>
    <row r="116" spans="2:6" x14ac:dyDescent="0.2">
      <c r="B116" s="50"/>
      <c r="C116" s="14"/>
      <c r="D116" t="s">
        <v>274</v>
      </c>
      <c r="F116" s="15">
        <v>653.1</v>
      </c>
    </row>
    <row r="117" spans="2:6" x14ac:dyDescent="0.2">
      <c r="B117" s="50"/>
      <c r="C117" s="14"/>
      <c r="D117" t="s">
        <v>275</v>
      </c>
      <c r="F117" s="15"/>
    </row>
    <row r="118" spans="2:6" x14ac:dyDescent="0.2">
      <c r="B118" s="50"/>
      <c r="C118" s="14"/>
      <c r="D118" t="s">
        <v>276</v>
      </c>
      <c r="F118" s="15">
        <v>697.65</v>
      </c>
    </row>
    <row r="119" spans="2:6" x14ac:dyDescent="0.2">
      <c r="B119" s="50"/>
      <c r="C119" s="14"/>
      <c r="D119" t="s">
        <v>277</v>
      </c>
      <c r="F119" s="15">
        <v>718.35</v>
      </c>
    </row>
    <row r="120" spans="2:6" x14ac:dyDescent="0.2">
      <c r="B120" s="50"/>
      <c r="C120" s="14"/>
      <c r="D120" t="s">
        <v>278</v>
      </c>
      <c r="F120" s="15"/>
    </row>
    <row r="121" spans="2:6" x14ac:dyDescent="0.2">
      <c r="B121" s="50"/>
      <c r="C121" s="14"/>
      <c r="D121" t="s">
        <v>279</v>
      </c>
      <c r="F121" s="15">
        <v>812.55</v>
      </c>
    </row>
    <row r="122" spans="2:6" x14ac:dyDescent="0.2">
      <c r="B122" s="50"/>
      <c r="C122" s="14"/>
      <c r="D122" t="s">
        <v>280</v>
      </c>
      <c r="F122" s="15"/>
    </row>
    <row r="123" spans="2:6" x14ac:dyDescent="0.2">
      <c r="B123" s="50"/>
      <c r="C123" s="14"/>
      <c r="D123" t="s">
        <v>281</v>
      </c>
      <c r="F123" s="15">
        <v>870.6</v>
      </c>
    </row>
    <row r="124" spans="2:6" x14ac:dyDescent="0.2">
      <c r="B124" s="50" t="s">
        <v>160</v>
      </c>
      <c r="C124" s="14"/>
      <c r="D124" t="s">
        <v>282</v>
      </c>
      <c r="F124" s="15"/>
    </row>
    <row r="125" spans="2:6" x14ac:dyDescent="0.2">
      <c r="B125" s="50"/>
      <c r="C125" s="14"/>
      <c r="D125" t="s">
        <v>283</v>
      </c>
      <c r="F125" s="15"/>
    </row>
    <row r="126" spans="2:6" x14ac:dyDescent="0.2">
      <c r="B126" s="50"/>
      <c r="C126" s="14"/>
      <c r="D126" t="s">
        <v>284</v>
      </c>
      <c r="F126" s="15"/>
    </row>
    <row r="127" spans="2:6" x14ac:dyDescent="0.2">
      <c r="B127" s="50"/>
      <c r="C127" s="14"/>
      <c r="D127" t="s">
        <v>285</v>
      </c>
      <c r="F127" s="15"/>
    </row>
    <row r="128" spans="2:6" x14ac:dyDescent="0.2">
      <c r="B128" s="50"/>
      <c r="C128" s="14"/>
      <c r="D128" t="s">
        <v>286</v>
      </c>
      <c r="F128" s="15"/>
    </row>
    <row r="129" spans="2:6" x14ac:dyDescent="0.2">
      <c r="B129" s="50"/>
      <c r="C129" s="14"/>
      <c r="D129" t="s">
        <v>287</v>
      </c>
      <c r="F129" s="15"/>
    </row>
    <row r="130" spans="2:6" x14ac:dyDescent="0.2">
      <c r="B130" s="50"/>
      <c r="C130" s="14"/>
      <c r="D130" t="s">
        <v>288</v>
      </c>
      <c r="F130" s="15"/>
    </row>
    <row r="131" spans="2:6" x14ac:dyDescent="0.2">
      <c r="B131" s="50"/>
      <c r="C131" s="14"/>
      <c r="D131" t="s">
        <v>289</v>
      </c>
      <c r="F131" s="15"/>
    </row>
    <row r="132" spans="2:6" x14ac:dyDescent="0.2">
      <c r="B132" s="50"/>
      <c r="C132" s="14"/>
      <c r="D132" t="s">
        <v>290</v>
      </c>
      <c r="F132" s="15"/>
    </row>
    <row r="133" spans="2:6" x14ac:dyDescent="0.2">
      <c r="B133" s="50"/>
      <c r="C133" s="14"/>
      <c r="D133" t="s">
        <v>291</v>
      </c>
      <c r="F133" s="15"/>
    </row>
    <row r="134" spans="2:6" x14ac:dyDescent="0.2">
      <c r="B134" s="50"/>
      <c r="C134" s="14"/>
      <c r="D134" t="s">
        <v>292</v>
      </c>
      <c r="F134" s="15"/>
    </row>
    <row r="135" spans="2:6" x14ac:dyDescent="0.2">
      <c r="B135" s="50"/>
      <c r="C135" s="14"/>
      <c r="D135" t="s">
        <v>293</v>
      </c>
      <c r="F135" s="15"/>
    </row>
    <row r="136" spans="2:6" x14ac:dyDescent="0.2">
      <c r="B136" s="50"/>
      <c r="C136" s="14"/>
      <c r="D136" t="s">
        <v>294</v>
      </c>
      <c r="F136" s="15"/>
    </row>
    <row r="137" spans="2:6" x14ac:dyDescent="0.2">
      <c r="B137" s="50"/>
      <c r="C137" s="14"/>
      <c r="D137" t="s">
        <v>295</v>
      </c>
      <c r="F137" s="15"/>
    </row>
    <row r="138" spans="2:6" x14ac:dyDescent="0.2">
      <c r="B138" s="50"/>
      <c r="C138" s="14"/>
      <c r="D138" t="s">
        <v>296</v>
      </c>
      <c r="F138" s="15"/>
    </row>
    <row r="139" spans="2:6" x14ac:dyDescent="0.2">
      <c r="B139" s="50"/>
      <c r="C139" s="14"/>
      <c r="D139" t="s">
        <v>297</v>
      </c>
      <c r="F139" s="15"/>
    </row>
    <row r="140" spans="2:6" x14ac:dyDescent="0.2">
      <c r="B140" s="50"/>
      <c r="C140" s="14"/>
      <c r="D140" t="s">
        <v>298</v>
      </c>
      <c r="F140" s="15"/>
    </row>
    <row r="141" spans="2:6" x14ac:dyDescent="0.2">
      <c r="B141" s="50"/>
      <c r="C141" s="14"/>
      <c r="D141" t="s">
        <v>299</v>
      </c>
      <c r="F141" s="15"/>
    </row>
    <row r="142" spans="2:6" x14ac:dyDescent="0.2">
      <c r="B142" s="50"/>
      <c r="C142" s="14"/>
      <c r="D142" t="s">
        <v>300</v>
      </c>
      <c r="F142" s="15"/>
    </row>
    <row r="143" spans="2:6" x14ac:dyDescent="0.2">
      <c r="B143" s="50"/>
      <c r="C143" s="14"/>
      <c r="D143" t="s">
        <v>301</v>
      </c>
      <c r="F143" s="15"/>
    </row>
    <row r="144" spans="2:6" x14ac:dyDescent="0.2">
      <c r="B144" s="50"/>
      <c r="C144" s="14"/>
      <c r="D144" t="s">
        <v>302</v>
      </c>
      <c r="F144" s="15"/>
    </row>
    <row r="145" spans="2:6" x14ac:dyDescent="0.2">
      <c r="B145" s="50"/>
      <c r="C145" s="14"/>
      <c r="D145" t="s">
        <v>303</v>
      </c>
      <c r="F145" s="15"/>
    </row>
    <row r="146" spans="2:6" x14ac:dyDescent="0.2">
      <c r="B146" s="50"/>
      <c r="C146" s="14"/>
      <c r="D146" t="s">
        <v>304</v>
      </c>
      <c r="F146" s="15"/>
    </row>
    <row r="147" spans="2:6" x14ac:dyDescent="0.2">
      <c r="B147" s="50"/>
      <c r="C147" s="14"/>
      <c r="D147" t="s">
        <v>305</v>
      </c>
      <c r="F147" s="15"/>
    </row>
    <row r="148" spans="2:6" x14ac:dyDescent="0.2">
      <c r="B148" s="50"/>
      <c r="C148" s="14"/>
      <c r="D148" t="s">
        <v>306</v>
      </c>
      <c r="F148" s="15"/>
    </row>
    <row r="149" spans="2:6" x14ac:dyDescent="0.2">
      <c r="B149" s="50"/>
      <c r="C149" s="14"/>
      <c r="D149" t="s">
        <v>307</v>
      </c>
      <c r="F149" s="15"/>
    </row>
    <row r="150" spans="2:6" x14ac:dyDescent="0.2">
      <c r="B150" s="50"/>
      <c r="C150" s="14"/>
      <c r="D150" t="s">
        <v>308</v>
      </c>
      <c r="F150" s="15"/>
    </row>
    <row r="151" spans="2:6" x14ac:dyDescent="0.2">
      <c r="B151" s="50"/>
      <c r="C151" s="14"/>
      <c r="D151" t="s">
        <v>309</v>
      </c>
      <c r="F151" s="15"/>
    </row>
    <row r="152" spans="2:6" x14ac:dyDescent="0.2">
      <c r="B152" s="50"/>
      <c r="C152" s="14"/>
      <c r="D152" t="s">
        <v>310</v>
      </c>
      <c r="F152" s="15"/>
    </row>
    <row r="153" spans="2:6" x14ac:dyDescent="0.2">
      <c r="B153" s="50"/>
      <c r="C153" s="14"/>
      <c r="D153" t="s">
        <v>311</v>
      </c>
      <c r="F153" s="15"/>
    </row>
  </sheetData>
  <mergeCells count="5">
    <mergeCell ref="B4:B33"/>
    <mergeCell ref="B34:B63"/>
    <mergeCell ref="B64:B93"/>
    <mergeCell ref="B94:B123"/>
    <mergeCell ref="B124:B1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A9F1-C0EF-4B8C-982E-ECDD77C3F088}">
  <dimension ref="B1:N114"/>
  <sheetViews>
    <sheetView showOutlineSymbols="0" showWhiteSpace="0" workbookViewId="0"/>
  </sheetViews>
  <sheetFormatPr baseColWidth="10" defaultColWidth="8.83203125" defaultRowHeight="15" x14ac:dyDescent="0.2"/>
  <cols>
    <col min="2" max="2" width="16.33203125" bestFit="1" customWidth="1"/>
    <col min="4" max="4" width="29.1640625" bestFit="1" customWidth="1"/>
    <col min="5" max="5" width="11.33203125" customWidth="1"/>
    <col min="6" max="6" width="45.5" bestFit="1" customWidth="1"/>
  </cols>
  <sheetData>
    <row r="1" spans="2:14" x14ac:dyDescent="0.2">
      <c r="K1" s="37" t="s">
        <v>74</v>
      </c>
      <c r="L1" s="37"/>
      <c r="M1" s="37"/>
      <c r="N1" t="s">
        <v>92</v>
      </c>
    </row>
    <row r="2" spans="2:14" x14ac:dyDescent="0.2">
      <c r="B2" t="s">
        <v>17</v>
      </c>
      <c r="D2" t="s">
        <v>18</v>
      </c>
      <c r="F2" t="s">
        <v>35</v>
      </c>
      <c r="H2" t="s">
        <v>41</v>
      </c>
      <c r="K2" t="s">
        <v>75</v>
      </c>
      <c r="L2">
        <v>3.6</v>
      </c>
      <c r="M2">
        <v>1.8</v>
      </c>
      <c r="N2" t="s">
        <v>93</v>
      </c>
    </row>
    <row r="3" spans="2:14" x14ac:dyDescent="0.2">
      <c r="B3" t="s">
        <v>16</v>
      </c>
      <c r="D3" t="s">
        <v>19</v>
      </c>
      <c r="F3" t="s">
        <v>36</v>
      </c>
      <c r="H3" t="s">
        <v>42</v>
      </c>
      <c r="J3">
        <v>1.8</v>
      </c>
      <c r="K3">
        <v>0.9</v>
      </c>
      <c r="L3">
        <v>0</v>
      </c>
      <c r="M3">
        <f>IF(J3=1.8,2,0)</f>
        <v>2</v>
      </c>
      <c r="N3">
        <v>4</v>
      </c>
    </row>
    <row r="4" spans="2:14" x14ac:dyDescent="0.2">
      <c r="B4" t="s">
        <v>15</v>
      </c>
      <c r="D4" t="s">
        <v>20</v>
      </c>
      <c r="F4" t="s">
        <v>37</v>
      </c>
      <c r="J4">
        <v>1.8</v>
      </c>
      <c r="K4">
        <v>1.8</v>
      </c>
      <c r="L4">
        <v>0</v>
      </c>
      <c r="M4">
        <f t="shared" ref="M4:M67" si="0">IF(J4=1.8,2,0)</f>
        <v>2</v>
      </c>
      <c r="N4">
        <v>4</v>
      </c>
    </row>
    <row r="5" spans="2:14" x14ac:dyDescent="0.2">
      <c r="B5" t="s">
        <v>89</v>
      </c>
      <c r="D5" t="s">
        <v>21</v>
      </c>
      <c r="F5" t="s">
        <v>34</v>
      </c>
      <c r="J5">
        <v>1.8</v>
      </c>
      <c r="K5">
        <v>2.7</v>
      </c>
      <c r="L5">
        <v>2</v>
      </c>
      <c r="M5">
        <f t="shared" si="0"/>
        <v>2</v>
      </c>
      <c r="N5">
        <v>4</v>
      </c>
    </row>
    <row r="6" spans="2:14" x14ac:dyDescent="0.2">
      <c r="D6" t="s">
        <v>90</v>
      </c>
      <c r="F6" t="s">
        <v>33</v>
      </c>
      <c r="K6">
        <v>3.6</v>
      </c>
      <c r="L6">
        <f>ROUNDDOWN(K6/3.6,0)*2</f>
        <v>2</v>
      </c>
      <c r="M6">
        <f t="shared" si="0"/>
        <v>0</v>
      </c>
      <c r="N6">
        <v>4</v>
      </c>
    </row>
    <row r="7" spans="2:14" x14ac:dyDescent="0.2">
      <c r="F7" t="s">
        <v>32</v>
      </c>
      <c r="J7">
        <v>1.8</v>
      </c>
      <c r="K7">
        <v>4.5</v>
      </c>
      <c r="L7">
        <f t="shared" ref="L7:L70" si="1">ROUNDDOWN(K7/3.6,0)*2</f>
        <v>2</v>
      </c>
      <c r="M7">
        <f t="shared" si="0"/>
        <v>2</v>
      </c>
      <c r="N7">
        <v>4</v>
      </c>
    </row>
    <row r="8" spans="2:14" x14ac:dyDescent="0.2">
      <c r="F8" t="s">
        <v>31</v>
      </c>
      <c r="J8">
        <v>1.8</v>
      </c>
      <c r="K8">
        <v>5.4</v>
      </c>
      <c r="L8">
        <f t="shared" si="1"/>
        <v>2</v>
      </c>
      <c r="M8">
        <f t="shared" si="0"/>
        <v>2</v>
      </c>
      <c r="N8">
        <v>4</v>
      </c>
    </row>
    <row r="9" spans="2:14" x14ac:dyDescent="0.2">
      <c r="J9">
        <v>1.8</v>
      </c>
      <c r="K9">
        <v>6.3</v>
      </c>
      <c r="L9">
        <f t="shared" si="1"/>
        <v>2</v>
      </c>
      <c r="M9">
        <f t="shared" si="0"/>
        <v>2</v>
      </c>
      <c r="N9">
        <v>4</v>
      </c>
    </row>
    <row r="10" spans="2:14" x14ac:dyDescent="0.2">
      <c r="K10">
        <v>7.2</v>
      </c>
      <c r="L10">
        <f t="shared" si="1"/>
        <v>4</v>
      </c>
      <c r="M10">
        <f t="shared" si="0"/>
        <v>0</v>
      </c>
      <c r="N10">
        <v>4</v>
      </c>
    </row>
    <row r="11" spans="2:14" x14ac:dyDescent="0.2">
      <c r="J11">
        <v>1.8</v>
      </c>
      <c r="K11">
        <v>8.1</v>
      </c>
      <c r="L11">
        <f t="shared" si="1"/>
        <v>4</v>
      </c>
      <c r="M11">
        <f t="shared" si="0"/>
        <v>2</v>
      </c>
      <c r="N11">
        <v>4</v>
      </c>
    </row>
    <row r="12" spans="2:14" x14ac:dyDescent="0.2">
      <c r="B12" t="s">
        <v>110</v>
      </c>
      <c r="C12" t="s">
        <v>113</v>
      </c>
      <c r="F12" t="s">
        <v>132</v>
      </c>
      <c r="G12" t="s">
        <v>91</v>
      </c>
      <c r="J12">
        <v>1.8</v>
      </c>
      <c r="K12">
        <v>9</v>
      </c>
      <c r="L12">
        <f t="shared" si="1"/>
        <v>4</v>
      </c>
      <c r="M12">
        <f t="shared" si="0"/>
        <v>2</v>
      </c>
      <c r="N12">
        <v>4</v>
      </c>
    </row>
    <row r="13" spans="2:14" x14ac:dyDescent="0.2">
      <c r="B13" t="s">
        <v>111</v>
      </c>
      <c r="C13" t="s">
        <v>114</v>
      </c>
      <c r="F13" t="s">
        <v>133</v>
      </c>
      <c r="G13" t="s">
        <v>109</v>
      </c>
      <c r="J13">
        <v>1.8</v>
      </c>
      <c r="K13">
        <v>9.9</v>
      </c>
      <c r="L13">
        <f t="shared" si="1"/>
        <v>4</v>
      </c>
      <c r="M13">
        <f t="shared" si="0"/>
        <v>2</v>
      </c>
      <c r="N13">
        <v>4</v>
      </c>
    </row>
    <row r="14" spans="2:14" x14ac:dyDescent="0.2">
      <c r="B14" t="s">
        <v>112</v>
      </c>
      <c r="C14" t="s">
        <v>115</v>
      </c>
      <c r="F14" t="s">
        <v>134</v>
      </c>
      <c r="G14" t="s">
        <v>159</v>
      </c>
      <c r="K14">
        <v>10.8</v>
      </c>
      <c r="L14">
        <f t="shared" si="1"/>
        <v>6</v>
      </c>
      <c r="M14">
        <f t="shared" si="0"/>
        <v>0</v>
      </c>
      <c r="N14">
        <v>4</v>
      </c>
    </row>
    <row r="15" spans="2:14" x14ac:dyDescent="0.2">
      <c r="B15" t="s">
        <v>312</v>
      </c>
      <c r="C15" t="s">
        <v>116</v>
      </c>
      <c r="F15" t="s">
        <v>135</v>
      </c>
      <c r="G15" t="s">
        <v>124</v>
      </c>
      <c r="J15">
        <v>1.8</v>
      </c>
      <c r="K15">
        <v>11.7</v>
      </c>
      <c r="L15">
        <f t="shared" si="1"/>
        <v>6</v>
      </c>
      <c r="M15">
        <f t="shared" si="0"/>
        <v>2</v>
      </c>
      <c r="N15">
        <v>8</v>
      </c>
    </row>
    <row r="16" spans="2:14" x14ac:dyDescent="0.2">
      <c r="F16" t="s">
        <v>136</v>
      </c>
      <c r="G16" t="s">
        <v>122</v>
      </c>
      <c r="J16">
        <v>1.8</v>
      </c>
      <c r="K16">
        <v>12.6</v>
      </c>
      <c r="L16">
        <f t="shared" si="1"/>
        <v>6</v>
      </c>
      <c r="M16">
        <f t="shared" si="0"/>
        <v>2</v>
      </c>
      <c r="N16">
        <v>8</v>
      </c>
    </row>
    <row r="17" spans="2:14" x14ac:dyDescent="0.2">
      <c r="B17" t="s">
        <v>117</v>
      </c>
      <c r="C17" t="s">
        <v>138</v>
      </c>
      <c r="F17" t="s">
        <v>29</v>
      </c>
      <c r="G17" t="s">
        <v>125</v>
      </c>
      <c r="J17">
        <v>1.8</v>
      </c>
      <c r="K17">
        <v>13.5</v>
      </c>
      <c r="L17">
        <f t="shared" si="1"/>
        <v>6</v>
      </c>
      <c r="M17">
        <f t="shared" si="0"/>
        <v>2</v>
      </c>
      <c r="N17">
        <v>8</v>
      </c>
    </row>
    <row r="18" spans="2:14" x14ac:dyDescent="0.2">
      <c r="B18" t="s">
        <v>118</v>
      </c>
      <c r="C18" t="s">
        <v>139</v>
      </c>
      <c r="F18" t="s">
        <v>137</v>
      </c>
      <c r="G18" t="s">
        <v>123</v>
      </c>
      <c r="K18">
        <v>14.4</v>
      </c>
      <c r="L18">
        <f t="shared" si="1"/>
        <v>8</v>
      </c>
      <c r="M18">
        <f t="shared" si="0"/>
        <v>0</v>
      </c>
      <c r="N18">
        <v>8</v>
      </c>
    </row>
    <row r="19" spans="2:14" x14ac:dyDescent="0.2">
      <c r="B19" t="s">
        <v>119</v>
      </c>
      <c r="C19" t="s">
        <v>141</v>
      </c>
      <c r="J19">
        <v>1.8</v>
      </c>
      <c r="K19">
        <v>15.3</v>
      </c>
      <c r="L19">
        <f t="shared" si="1"/>
        <v>8</v>
      </c>
      <c r="M19">
        <f t="shared" si="0"/>
        <v>2</v>
      </c>
      <c r="N19">
        <v>8</v>
      </c>
    </row>
    <row r="20" spans="2:14" x14ac:dyDescent="0.2">
      <c r="B20" t="s">
        <v>120</v>
      </c>
      <c r="C20" t="s">
        <v>140</v>
      </c>
      <c r="J20">
        <v>1.8</v>
      </c>
      <c r="K20">
        <v>16.2</v>
      </c>
      <c r="L20">
        <f t="shared" si="1"/>
        <v>8</v>
      </c>
      <c r="M20">
        <f t="shared" si="0"/>
        <v>2</v>
      </c>
      <c r="N20">
        <v>8</v>
      </c>
    </row>
    <row r="21" spans="2:14" x14ac:dyDescent="0.2">
      <c r="F21" t="s">
        <v>126</v>
      </c>
      <c r="G21" t="s">
        <v>50</v>
      </c>
      <c r="J21">
        <v>1.8</v>
      </c>
      <c r="K21">
        <v>17.100000000000001</v>
      </c>
      <c r="L21">
        <f t="shared" si="1"/>
        <v>8</v>
      </c>
      <c r="M21">
        <f t="shared" si="0"/>
        <v>2</v>
      </c>
      <c r="N21">
        <v>8</v>
      </c>
    </row>
    <row r="22" spans="2:14" x14ac:dyDescent="0.2">
      <c r="B22" t="s">
        <v>142</v>
      </c>
      <c r="C22" t="s">
        <v>144</v>
      </c>
      <c r="F22" t="s">
        <v>127</v>
      </c>
      <c r="G22" t="s">
        <v>49</v>
      </c>
      <c r="K22">
        <v>18</v>
      </c>
      <c r="L22">
        <f t="shared" si="1"/>
        <v>10</v>
      </c>
      <c r="M22">
        <f t="shared" si="0"/>
        <v>0</v>
      </c>
      <c r="N22">
        <v>12</v>
      </c>
    </row>
    <row r="23" spans="2:14" x14ac:dyDescent="0.2">
      <c r="B23" t="s">
        <v>143</v>
      </c>
      <c r="C23" t="s">
        <v>145</v>
      </c>
      <c r="F23" t="s">
        <v>128</v>
      </c>
      <c r="G23" t="s">
        <v>48</v>
      </c>
      <c r="J23">
        <v>1.8</v>
      </c>
      <c r="K23">
        <v>18.899999999999999</v>
      </c>
      <c r="L23">
        <f t="shared" si="1"/>
        <v>10</v>
      </c>
      <c r="M23">
        <f t="shared" si="0"/>
        <v>2</v>
      </c>
      <c r="N23">
        <v>12</v>
      </c>
    </row>
    <row r="24" spans="2:14" x14ac:dyDescent="0.2">
      <c r="B24" t="s">
        <v>317</v>
      </c>
      <c r="C24" t="s">
        <v>317</v>
      </c>
      <c r="F24" t="s">
        <v>129</v>
      </c>
      <c r="G24" t="s">
        <v>47</v>
      </c>
      <c r="J24">
        <v>1.8</v>
      </c>
      <c r="K24">
        <v>19.8</v>
      </c>
      <c r="L24">
        <f t="shared" si="1"/>
        <v>10</v>
      </c>
      <c r="M24">
        <f t="shared" si="0"/>
        <v>2</v>
      </c>
      <c r="N24">
        <v>12</v>
      </c>
    </row>
    <row r="25" spans="2:14" x14ac:dyDescent="0.2">
      <c r="B25" t="s">
        <v>316</v>
      </c>
      <c r="C25" t="s">
        <v>316</v>
      </c>
      <c r="F25" t="s">
        <v>130</v>
      </c>
      <c r="G25" t="s">
        <v>46</v>
      </c>
      <c r="J25">
        <v>1.8</v>
      </c>
      <c r="K25">
        <v>20.7</v>
      </c>
      <c r="L25">
        <f t="shared" si="1"/>
        <v>10</v>
      </c>
      <c r="M25">
        <f t="shared" si="0"/>
        <v>2</v>
      </c>
      <c r="N25">
        <v>12</v>
      </c>
    </row>
    <row r="26" spans="2:14" x14ac:dyDescent="0.2">
      <c r="K26">
        <v>21.6</v>
      </c>
      <c r="L26">
        <f t="shared" si="1"/>
        <v>12</v>
      </c>
      <c r="M26">
        <f t="shared" si="0"/>
        <v>0</v>
      </c>
      <c r="N26">
        <v>12</v>
      </c>
    </row>
    <row r="27" spans="2:14" x14ac:dyDescent="0.2">
      <c r="J27">
        <v>1.8</v>
      </c>
      <c r="K27">
        <v>22.5</v>
      </c>
      <c r="L27">
        <f t="shared" si="1"/>
        <v>12</v>
      </c>
      <c r="M27">
        <f t="shared" si="0"/>
        <v>2</v>
      </c>
      <c r="N27">
        <v>12</v>
      </c>
    </row>
    <row r="28" spans="2:14" x14ac:dyDescent="0.2">
      <c r="B28" t="s">
        <v>146</v>
      </c>
      <c r="C28" t="s">
        <v>146</v>
      </c>
      <c r="E28" s="19" t="s">
        <v>323</v>
      </c>
      <c r="F28" t="s">
        <v>324</v>
      </c>
      <c r="J28">
        <v>1.8</v>
      </c>
      <c r="K28">
        <v>23.4</v>
      </c>
      <c r="L28">
        <f t="shared" si="1"/>
        <v>12</v>
      </c>
      <c r="M28">
        <f t="shared" si="0"/>
        <v>2</v>
      </c>
      <c r="N28">
        <v>12</v>
      </c>
    </row>
    <row r="29" spans="2:14" x14ac:dyDescent="0.2">
      <c r="B29" t="s">
        <v>147</v>
      </c>
      <c r="C29" t="s">
        <v>148</v>
      </c>
      <c r="E29" s="19">
        <v>3.6</v>
      </c>
      <c r="F29" t="str">
        <f t="shared" ref="F29:F51" si="2">CONCATENATE("15.7mm Strand @ ",E29+0.45,"m")</f>
        <v>15.7mm Strand @ 4.05m</v>
      </c>
      <c r="J29">
        <v>1.8</v>
      </c>
      <c r="K29">
        <v>24.3</v>
      </c>
      <c r="L29">
        <f t="shared" si="1"/>
        <v>12</v>
      </c>
      <c r="M29">
        <f t="shared" si="0"/>
        <v>2</v>
      </c>
      <c r="N29">
        <v>12</v>
      </c>
    </row>
    <row r="30" spans="2:14" x14ac:dyDescent="0.2">
      <c r="B30" t="s">
        <v>318</v>
      </c>
      <c r="C30" t="s">
        <v>350</v>
      </c>
      <c r="E30" s="19">
        <v>5.4</v>
      </c>
      <c r="F30" t="str">
        <f t="shared" si="2"/>
        <v>15.7mm Strand @ 5.85m</v>
      </c>
      <c r="K30">
        <v>25.2</v>
      </c>
      <c r="L30">
        <f t="shared" si="1"/>
        <v>14</v>
      </c>
      <c r="M30">
        <f t="shared" si="0"/>
        <v>0</v>
      </c>
      <c r="N30">
        <v>12</v>
      </c>
    </row>
    <row r="31" spans="2:14" x14ac:dyDescent="0.2">
      <c r="B31" t="s">
        <v>162</v>
      </c>
      <c r="C31" t="s">
        <v>150</v>
      </c>
      <c r="E31" s="19">
        <v>7.2</v>
      </c>
      <c r="F31" t="str">
        <f t="shared" si="2"/>
        <v>15.7mm Strand @ 7.65m</v>
      </c>
      <c r="J31">
        <v>1.8</v>
      </c>
      <c r="K31">
        <v>26.1</v>
      </c>
      <c r="L31">
        <f t="shared" si="1"/>
        <v>14</v>
      </c>
      <c r="M31">
        <f t="shared" si="0"/>
        <v>2</v>
      </c>
      <c r="N31">
        <v>16</v>
      </c>
    </row>
    <row r="32" spans="2:14" x14ac:dyDescent="0.2">
      <c r="E32" s="19">
        <v>9</v>
      </c>
      <c r="F32" t="str">
        <f t="shared" si="2"/>
        <v>15.7mm Strand @ 9.45m</v>
      </c>
      <c r="J32">
        <v>1.8</v>
      </c>
      <c r="K32">
        <v>27</v>
      </c>
      <c r="L32">
        <f t="shared" si="1"/>
        <v>14</v>
      </c>
      <c r="M32">
        <f t="shared" si="0"/>
        <v>2</v>
      </c>
      <c r="N32">
        <v>16</v>
      </c>
    </row>
    <row r="33" spans="2:14" x14ac:dyDescent="0.2">
      <c r="B33" t="s">
        <v>153</v>
      </c>
      <c r="C33" t="s">
        <v>93</v>
      </c>
      <c r="E33" s="19">
        <v>10.8</v>
      </c>
      <c r="F33" t="str">
        <f t="shared" si="2"/>
        <v>15.7mm Strand @ 11.25m</v>
      </c>
      <c r="J33">
        <v>1.8</v>
      </c>
      <c r="K33">
        <v>27.9</v>
      </c>
      <c r="L33">
        <f t="shared" si="1"/>
        <v>14</v>
      </c>
      <c r="M33">
        <f t="shared" si="0"/>
        <v>2</v>
      </c>
      <c r="N33">
        <v>16</v>
      </c>
    </row>
    <row r="34" spans="2:14" x14ac:dyDescent="0.2">
      <c r="B34" t="s">
        <v>319</v>
      </c>
      <c r="C34" t="s">
        <v>320</v>
      </c>
      <c r="E34" s="19">
        <v>12.6</v>
      </c>
      <c r="F34" t="str">
        <f t="shared" si="2"/>
        <v>15.7mm Strand @ 13.05m</v>
      </c>
      <c r="K34">
        <v>28.8</v>
      </c>
      <c r="L34">
        <f t="shared" si="1"/>
        <v>16</v>
      </c>
      <c r="M34">
        <f t="shared" si="0"/>
        <v>0</v>
      </c>
      <c r="N34">
        <v>16</v>
      </c>
    </row>
    <row r="35" spans="2:14" x14ac:dyDescent="0.2">
      <c r="B35" t="s">
        <v>151</v>
      </c>
      <c r="C35" t="s">
        <v>149</v>
      </c>
      <c r="E35" s="19">
        <v>14.4</v>
      </c>
      <c r="F35" t="str">
        <f t="shared" si="2"/>
        <v>15.7mm Strand @ 14.85m</v>
      </c>
      <c r="J35">
        <v>1.8</v>
      </c>
      <c r="K35">
        <v>29.7</v>
      </c>
      <c r="L35">
        <f t="shared" si="1"/>
        <v>16</v>
      </c>
      <c r="M35">
        <f t="shared" si="0"/>
        <v>2</v>
      </c>
      <c r="N35">
        <v>16</v>
      </c>
    </row>
    <row r="36" spans="2:14" x14ac:dyDescent="0.2">
      <c r="B36" t="s">
        <v>152</v>
      </c>
      <c r="C36" t="s">
        <v>154</v>
      </c>
      <c r="E36" s="19">
        <v>16.2</v>
      </c>
      <c r="F36" t="str">
        <f t="shared" si="2"/>
        <v>15.7mm Strand @ 16.65m</v>
      </c>
      <c r="J36">
        <v>1.8</v>
      </c>
      <c r="K36">
        <v>30.6</v>
      </c>
      <c r="L36">
        <f t="shared" si="1"/>
        <v>16</v>
      </c>
      <c r="M36">
        <f t="shared" si="0"/>
        <v>2</v>
      </c>
      <c r="N36">
        <v>16</v>
      </c>
    </row>
    <row r="37" spans="2:14" x14ac:dyDescent="0.2">
      <c r="E37" s="19">
        <v>18</v>
      </c>
      <c r="F37" t="str">
        <f t="shared" si="2"/>
        <v>15.7mm Strand @ 18.45m</v>
      </c>
      <c r="J37">
        <v>1.8</v>
      </c>
      <c r="K37">
        <v>31.5</v>
      </c>
      <c r="L37">
        <f t="shared" si="1"/>
        <v>16</v>
      </c>
      <c r="M37">
        <f t="shared" si="0"/>
        <v>2</v>
      </c>
      <c r="N37">
        <v>16</v>
      </c>
    </row>
    <row r="38" spans="2:14" x14ac:dyDescent="0.2">
      <c r="B38" t="s">
        <v>353</v>
      </c>
      <c r="C38" t="s">
        <v>357</v>
      </c>
      <c r="E38" s="19">
        <v>19.8</v>
      </c>
      <c r="F38" t="str">
        <f t="shared" si="2"/>
        <v>15.7mm Strand @ 20.25m</v>
      </c>
      <c r="K38">
        <v>32.4</v>
      </c>
      <c r="L38">
        <f t="shared" si="1"/>
        <v>18</v>
      </c>
      <c r="M38">
        <f t="shared" si="0"/>
        <v>0</v>
      </c>
      <c r="N38">
        <v>20</v>
      </c>
    </row>
    <row r="39" spans="2:14" x14ac:dyDescent="0.2">
      <c r="E39" s="19">
        <v>21.6</v>
      </c>
      <c r="F39" t="str">
        <f t="shared" si="2"/>
        <v>15.7mm Strand @ 22.05m</v>
      </c>
      <c r="J39">
        <v>1.8</v>
      </c>
      <c r="K39">
        <v>33.299999999999997</v>
      </c>
      <c r="L39">
        <f t="shared" si="1"/>
        <v>18</v>
      </c>
      <c r="M39">
        <f t="shared" si="0"/>
        <v>2</v>
      </c>
      <c r="N39">
        <v>20</v>
      </c>
    </row>
    <row r="40" spans="2:14" x14ac:dyDescent="0.2">
      <c r="B40" t="s">
        <v>354</v>
      </c>
      <c r="C40" t="s">
        <v>358</v>
      </c>
      <c r="E40" s="19">
        <v>23.4</v>
      </c>
      <c r="F40" t="str">
        <f t="shared" si="2"/>
        <v>15.7mm Strand @ 23.85m</v>
      </c>
      <c r="J40">
        <v>1.8</v>
      </c>
      <c r="K40">
        <v>34.200000000000003</v>
      </c>
      <c r="L40">
        <f t="shared" si="1"/>
        <v>18</v>
      </c>
      <c r="M40">
        <f t="shared" si="0"/>
        <v>2</v>
      </c>
      <c r="N40">
        <v>20</v>
      </c>
    </row>
    <row r="41" spans="2:14" x14ac:dyDescent="0.2">
      <c r="B41" t="s">
        <v>355</v>
      </c>
      <c r="C41" t="s">
        <v>359</v>
      </c>
      <c r="E41" s="19">
        <v>25.2</v>
      </c>
      <c r="F41" t="str">
        <f t="shared" si="2"/>
        <v>15.7mm Strand @ 25.65m</v>
      </c>
      <c r="J41">
        <v>1.8</v>
      </c>
      <c r="K41">
        <v>35.1</v>
      </c>
      <c r="L41">
        <f t="shared" si="1"/>
        <v>18</v>
      </c>
      <c r="M41">
        <f t="shared" si="0"/>
        <v>2</v>
      </c>
      <c r="N41">
        <v>20</v>
      </c>
    </row>
    <row r="42" spans="2:14" x14ac:dyDescent="0.2">
      <c r="B42" t="s">
        <v>356</v>
      </c>
      <c r="C42" t="s">
        <v>360</v>
      </c>
      <c r="E42" s="19">
        <v>27</v>
      </c>
      <c r="F42" t="str">
        <f t="shared" si="2"/>
        <v>15.7mm Strand @ 27.45m</v>
      </c>
      <c r="K42">
        <v>36</v>
      </c>
      <c r="L42">
        <f t="shared" si="1"/>
        <v>20</v>
      </c>
      <c r="M42">
        <f t="shared" si="0"/>
        <v>0</v>
      </c>
      <c r="N42">
        <v>20</v>
      </c>
    </row>
    <row r="43" spans="2:14" x14ac:dyDescent="0.2">
      <c r="E43" s="19">
        <v>28.8</v>
      </c>
      <c r="F43" t="str">
        <f t="shared" si="2"/>
        <v>15.7mm Strand @ 29.25m</v>
      </c>
      <c r="J43">
        <v>1.8</v>
      </c>
      <c r="K43">
        <v>36.9</v>
      </c>
      <c r="L43">
        <f t="shared" si="1"/>
        <v>20</v>
      </c>
      <c r="M43">
        <f t="shared" si="0"/>
        <v>2</v>
      </c>
      <c r="N43">
        <v>20</v>
      </c>
    </row>
    <row r="44" spans="2:14" x14ac:dyDescent="0.2">
      <c r="B44" t="s">
        <v>365</v>
      </c>
      <c r="C44" t="s">
        <v>366</v>
      </c>
      <c r="E44" s="19">
        <v>30.6</v>
      </c>
      <c r="F44" t="str">
        <f t="shared" si="2"/>
        <v>15.7mm Strand @ 31.05m</v>
      </c>
      <c r="J44">
        <v>1.8</v>
      </c>
      <c r="K44">
        <v>37.799999999999997</v>
      </c>
      <c r="L44">
        <f t="shared" si="1"/>
        <v>20</v>
      </c>
      <c r="M44">
        <f t="shared" si="0"/>
        <v>2</v>
      </c>
      <c r="N44">
        <v>20</v>
      </c>
    </row>
    <row r="45" spans="2:14" x14ac:dyDescent="0.2">
      <c r="B45" t="s">
        <v>367</v>
      </c>
      <c r="C45" t="s">
        <v>368</v>
      </c>
      <c r="E45" s="19">
        <v>32.4</v>
      </c>
      <c r="F45" t="str">
        <f t="shared" si="2"/>
        <v>15.7mm Strand @ 32.85m</v>
      </c>
      <c r="J45">
        <v>1.8</v>
      </c>
      <c r="K45">
        <v>38.700000000000003</v>
      </c>
      <c r="L45">
        <f t="shared" si="1"/>
        <v>20</v>
      </c>
      <c r="M45">
        <f t="shared" si="0"/>
        <v>2</v>
      </c>
      <c r="N45">
        <v>24</v>
      </c>
    </row>
    <row r="46" spans="2:14" x14ac:dyDescent="0.2">
      <c r="B46" t="s">
        <v>369</v>
      </c>
      <c r="C46" t="s">
        <v>370</v>
      </c>
      <c r="E46" s="19">
        <v>34.200000000000003</v>
      </c>
      <c r="F46" t="str">
        <f t="shared" si="2"/>
        <v>15.7mm Strand @ 34.65m</v>
      </c>
      <c r="K46">
        <v>39.6</v>
      </c>
      <c r="L46">
        <f t="shared" si="1"/>
        <v>22</v>
      </c>
      <c r="M46">
        <f t="shared" si="0"/>
        <v>0</v>
      </c>
      <c r="N46">
        <v>24</v>
      </c>
    </row>
    <row r="47" spans="2:14" x14ac:dyDescent="0.2">
      <c r="B47" t="s">
        <v>371</v>
      </c>
      <c r="C47" t="s">
        <v>372</v>
      </c>
      <c r="E47" s="19">
        <v>36</v>
      </c>
      <c r="F47" t="str">
        <f t="shared" si="2"/>
        <v>15.7mm Strand @ 36.45m</v>
      </c>
      <c r="J47">
        <v>1.8</v>
      </c>
      <c r="K47">
        <v>40.5</v>
      </c>
      <c r="L47">
        <f t="shared" si="1"/>
        <v>22</v>
      </c>
      <c r="M47">
        <f t="shared" si="0"/>
        <v>2</v>
      </c>
      <c r="N47">
        <v>24</v>
      </c>
    </row>
    <row r="48" spans="2:14" x14ac:dyDescent="0.2">
      <c r="E48" s="19">
        <v>37.799999999999997</v>
      </c>
      <c r="F48" t="str">
        <f t="shared" si="2"/>
        <v>15.7mm Strand @ 38.25m</v>
      </c>
      <c r="J48">
        <v>1.8</v>
      </c>
      <c r="K48">
        <v>41.4</v>
      </c>
      <c r="L48">
        <f t="shared" si="1"/>
        <v>22</v>
      </c>
      <c r="M48">
        <f t="shared" si="0"/>
        <v>2</v>
      </c>
      <c r="N48">
        <v>24</v>
      </c>
    </row>
    <row r="49" spans="5:14" x14ac:dyDescent="0.2">
      <c r="E49" s="19">
        <v>39.6</v>
      </c>
      <c r="F49" t="str">
        <f t="shared" si="2"/>
        <v>15.7mm Strand @ 40.05m</v>
      </c>
      <c r="J49">
        <v>1.8</v>
      </c>
      <c r="K49">
        <v>42.3</v>
      </c>
      <c r="L49">
        <f t="shared" si="1"/>
        <v>22</v>
      </c>
      <c r="M49">
        <f t="shared" si="0"/>
        <v>2</v>
      </c>
      <c r="N49">
        <v>24</v>
      </c>
    </row>
    <row r="50" spans="5:14" x14ac:dyDescent="0.2">
      <c r="E50" s="19">
        <v>41.4</v>
      </c>
      <c r="F50" t="str">
        <f t="shared" si="2"/>
        <v>15.7mm Strand @ 41.85m</v>
      </c>
      <c r="K50">
        <v>43.2</v>
      </c>
      <c r="L50">
        <f t="shared" si="1"/>
        <v>24</v>
      </c>
      <c r="M50">
        <f t="shared" si="0"/>
        <v>0</v>
      </c>
      <c r="N50">
        <v>24</v>
      </c>
    </row>
    <row r="51" spans="5:14" x14ac:dyDescent="0.2">
      <c r="E51" s="19">
        <v>43.2</v>
      </c>
      <c r="F51" t="str">
        <f t="shared" si="2"/>
        <v>15.7mm Strand @ 43.65m</v>
      </c>
      <c r="J51">
        <v>1.8</v>
      </c>
      <c r="K51">
        <v>44.1</v>
      </c>
      <c r="L51">
        <f t="shared" si="1"/>
        <v>24</v>
      </c>
      <c r="M51">
        <f t="shared" si="0"/>
        <v>2</v>
      </c>
      <c r="N51">
        <v>24</v>
      </c>
    </row>
    <row r="52" spans="5:14" x14ac:dyDescent="0.2">
      <c r="J52">
        <v>1.8</v>
      </c>
      <c r="K52">
        <v>45</v>
      </c>
      <c r="L52">
        <f t="shared" si="1"/>
        <v>24</v>
      </c>
      <c r="M52">
        <f t="shared" si="0"/>
        <v>2</v>
      </c>
      <c r="N52">
        <v>28</v>
      </c>
    </row>
    <row r="53" spans="5:14" x14ac:dyDescent="0.2">
      <c r="J53">
        <v>1.8</v>
      </c>
      <c r="K53">
        <v>45.9</v>
      </c>
      <c r="L53">
        <f t="shared" si="1"/>
        <v>24</v>
      </c>
      <c r="M53">
        <f t="shared" si="0"/>
        <v>2</v>
      </c>
      <c r="N53">
        <v>28</v>
      </c>
    </row>
    <row r="54" spans="5:14" x14ac:dyDescent="0.2">
      <c r="K54">
        <v>46.8</v>
      </c>
      <c r="L54">
        <f t="shared" si="1"/>
        <v>26</v>
      </c>
      <c r="M54">
        <f t="shared" si="0"/>
        <v>0</v>
      </c>
      <c r="N54">
        <v>28</v>
      </c>
    </row>
    <row r="55" spans="5:14" x14ac:dyDescent="0.2">
      <c r="J55">
        <v>1.8</v>
      </c>
      <c r="K55">
        <v>47.7</v>
      </c>
      <c r="L55">
        <f t="shared" si="1"/>
        <v>26</v>
      </c>
      <c r="M55">
        <f t="shared" si="0"/>
        <v>2</v>
      </c>
      <c r="N55">
        <v>28</v>
      </c>
    </row>
    <row r="56" spans="5:14" x14ac:dyDescent="0.2">
      <c r="J56">
        <v>1.8</v>
      </c>
      <c r="K56">
        <v>48.6</v>
      </c>
      <c r="L56">
        <f t="shared" si="1"/>
        <v>26</v>
      </c>
      <c r="M56">
        <f t="shared" si="0"/>
        <v>2</v>
      </c>
      <c r="N56">
        <v>28</v>
      </c>
    </row>
    <row r="57" spans="5:14" x14ac:dyDescent="0.2">
      <c r="J57">
        <v>1.8</v>
      </c>
      <c r="K57">
        <v>49.5</v>
      </c>
      <c r="L57">
        <f t="shared" si="1"/>
        <v>26</v>
      </c>
      <c r="M57">
        <f t="shared" si="0"/>
        <v>2</v>
      </c>
      <c r="N57">
        <v>28</v>
      </c>
    </row>
    <row r="58" spans="5:14" x14ac:dyDescent="0.2">
      <c r="K58">
        <v>50.4</v>
      </c>
      <c r="L58">
        <f t="shared" si="1"/>
        <v>28</v>
      </c>
      <c r="M58">
        <f t="shared" si="0"/>
        <v>0</v>
      </c>
      <c r="N58">
        <v>28</v>
      </c>
    </row>
    <row r="59" spans="5:14" x14ac:dyDescent="0.2">
      <c r="J59">
        <v>1.8</v>
      </c>
      <c r="K59">
        <v>51.3</v>
      </c>
      <c r="L59">
        <f t="shared" si="1"/>
        <v>28</v>
      </c>
      <c r="M59">
        <f t="shared" si="0"/>
        <v>2</v>
      </c>
      <c r="N59">
        <v>32</v>
      </c>
    </row>
    <row r="60" spans="5:14" x14ac:dyDescent="0.2">
      <c r="J60">
        <v>1.8</v>
      </c>
      <c r="K60">
        <v>52.2</v>
      </c>
      <c r="L60">
        <f t="shared" si="1"/>
        <v>28</v>
      </c>
      <c r="M60">
        <f t="shared" si="0"/>
        <v>2</v>
      </c>
      <c r="N60">
        <v>32</v>
      </c>
    </row>
    <row r="61" spans="5:14" x14ac:dyDescent="0.2">
      <c r="J61">
        <v>1.8</v>
      </c>
      <c r="K61">
        <v>53.1</v>
      </c>
      <c r="L61">
        <f t="shared" si="1"/>
        <v>28</v>
      </c>
      <c r="M61">
        <f t="shared" si="0"/>
        <v>2</v>
      </c>
      <c r="N61">
        <v>32</v>
      </c>
    </row>
    <row r="62" spans="5:14" x14ac:dyDescent="0.2">
      <c r="K62">
        <v>54</v>
      </c>
      <c r="L62">
        <f t="shared" si="1"/>
        <v>30</v>
      </c>
      <c r="M62">
        <f t="shared" si="0"/>
        <v>0</v>
      </c>
      <c r="N62">
        <v>32</v>
      </c>
    </row>
    <row r="63" spans="5:14" x14ac:dyDescent="0.2">
      <c r="J63">
        <v>1.8</v>
      </c>
      <c r="K63">
        <v>54.9</v>
      </c>
      <c r="L63">
        <f t="shared" si="1"/>
        <v>30</v>
      </c>
      <c r="M63">
        <f t="shared" si="0"/>
        <v>2</v>
      </c>
      <c r="N63">
        <v>32</v>
      </c>
    </row>
    <row r="64" spans="5:14" x14ac:dyDescent="0.2">
      <c r="J64">
        <v>1.8</v>
      </c>
      <c r="K64">
        <v>55.8</v>
      </c>
      <c r="L64">
        <f t="shared" si="1"/>
        <v>30</v>
      </c>
      <c r="M64">
        <f t="shared" si="0"/>
        <v>2</v>
      </c>
      <c r="N64">
        <v>32</v>
      </c>
    </row>
    <row r="65" spans="10:14" x14ac:dyDescent="0.2">
      <c r="J65">
        <v>1.8</v>
      </c>
      <c r="K65">
        <v>56.7</v>
      </c>
      <c r="L65">
        <f t="shared" si="1"/>
        <v>30</v>
      </c>
      <c r="M65">
        <f t="shared" si="0"/>
        <v>2</v>
      </c>
      <c r="N65">
        <v>32</v>
      </c>
    </row>
    <row r="66" spans="10:14" x14ac:dyDescent="0.2">
      <c r="K66">
        <v>57.6</v>
      </c>
      <c r="L66">
        <f t="shared" si="1"/>
        <v>32</v>
      </c>
      <c r="M66">
        <f t="shared" si="0"/>
        <v>0</v>
      </c>
      <c r="N66">
        <v>36</v>
      </c>
    </row>
    <row r="67" spans="10:14" x14ac:dyDescent="0.2">
      <c r="J67">
        <v>1.8</v>
      </c>
      <c r="K67">
        <v>58.5</v>
      </c>
      <c r="L67">
        <f t="shared" si="1"/>
        <v>32</v>
      </c>
      <c r="M67">
        <f t="shared" si="0"/>
        <v>2</v>
      </c>
      <c r="N67">
        <v>36</v>
      </c>
    </row>
    <row r="68" spans="10:14" x14ac:dyDescent="0.2">
      <c r="J68">
        <v>1.8</v>
      </c>
      <c r="K68">
        <v>59.4</v>
      </c>
      <c r="L68">
        <f t="shared" si="1"/>
        <v>32</v>
      </c>
      <c r="M68">
        <f t="shared" ref="M68:M114" si="3">IF(J68=1.8,2,0)</f>
        <v>2</v>
      </c>
      <c r="N68">
        <v>36</v>
      </c>
    </row>
    <row r="69" spans="10:14" x14ac:dyDescent="0.2">
      <c r="J69">
        <v>1.8</v>
      </c>
      <c r="K69">
        <v>60.3</v>
      </c>
      <c r="L69">
        <f t="shared" si="1"/>
        <v>32</v>
      </c>
      <c r="M69">
        <f t="shared" si="3"/>
        <v>2</v>
      </c>
      <c r="N69">
        <v>36</v>
      </c>
    </row>
    <row r="70" spans="10:14" x14ac:dyDescent="0.2">
      <c r="K70">
        <v>61.2</v>
      </c>
      <c r="L70">
        <f t="shared" si="1"/>
        <v>34</v>
      </c>
      <c r="M70">
        <f t="shared" si="3"/>
        <v>0</v>
      </c>
      <c r="N70">
        <v>36</v>
      </c>
    </row>
    <row r="71" spans="10:14" x14ac:dyDescent="0.2">
      <c r="J71">
        <v>1.8</v>
      </c>
      <c r="K71">
        <v>62.1</v>
      </c>
      <c r="L71">
        <f t="shared" ref="L71:L114" si="4">ROUNDDOWN(K71/3.6,0)*2</f>
        <v>34</v>
      </c>
      <c r="M71">
        <f t="shared" si="3"/>
        <v>2</v>
      </c>
      <c r="N71">
        <v>36</v>
      </c>
    </row>
    <row r="72" spans="10:14" x14ac:dyDescent="0.2">
      <c r="J72">
        <v>1.8</v>
      </c>
      <c r="K72">
        <v>63</v>
      </c>
      <c r="L72">
        <f t="shared" si="4"/>
        <v>34</v>
      </c>
      <c r="M72">
        <f t="shared" si="3"/>
        <v>2</v>
      </c>
      <c r="N72">
        <v>36</v>
      </c>
    </row>
    <row r="73" spans="10:14" x14ac:dyDescent="0.2">
      <c r="J73">
        <v>1.8</v>
      </c>
      <c r="K73">
        <v>63.9</v>
      </c>
      <c r="L73">
        <f t="shared" si="4"/>
        <v>34</v>
      </c>
      <c r="M73">
        <f t="shared" si="3"/>
        <v>2</v>
      </c>
      <c r="N73">
        <v>40</v>
      </c>
    </row>
    <row r="74" spans="10:14" x14ac:dyDescent="0.2">
      <c r="K74">
        <v>64.8</v>
      </c>
      <c r="L74">
        <f t="shared" si="4"/>
        <v>36</v>
      </c>
      <c r="M74">
        <f t="shared" si="3"/>
        <v>0</v>
      </c>
      <c r="N74">
        <v>40</v>
      </c>
    </row>
    <row r="75" spans="10:14" x14ac:dyDescent="0.2">
      <c r="J75">
        <v>1.8</v>
      </c>
      <c r="K75">
        <v>65.7</v>
      </c>
      <c r="L75">
        <f t="shared" si="4"/>
        <v>36</v>
      </c>
      <c r="M75">
        <f t="shared" si="3"/>
        <v>2</v>
      </c>
      <c r="N75">
        <v>40</v>
      </c>
    </row>
    <row r="76" spans="10:14" x14ac:dyDescent="0.2">
      <c r="J76">
        <v>1.8</v>
      </c>
      <c r="K76">
        <v>66.599999999999994</v>
      </c>
      <c r="L76">
        <f t="shared" si="4"/>
        <v>36</v>
      </c>
      <c r="M76">
        <f t="shared" si="3"/>
        <v>2</v>
      </c>
      <c r="N76">
        <v>40</v>
      </c>
    </row>
    <row r="77" spans="10:14" x14ac:dyDescent="0.2">
      <c r="J77">
        <v>1.8</v>
      </c>
      <c r="K77">
        <v>67.5</v>
      </c>
      <c r="L77">
        <f t="shared" si="4"/>
        <v>36</v>
      </c>
      <c r="M77">
        <f t="shared" si="3"/>
        <v>2</v>
      </c>
      <c r="N77">
        <v>40</v>
      </c>
    </row>
    <row r="78" spans="10:14" x14ac:dyDescent="0.2">
      <c r="K78">
        <v>68.400000000000006</v>
      </c>
      <c r="L78">
        <f t="shared" si="4"/>
        <v>38</v>
      </c>
      <c r="M78">
        <f t="shared" si="3"/>
        <v>0</v>
      </c>
      <c r="N78">
        <v>40</v>
      </c>
    </row>
    <row r="79" spans="10:14" x14ac:dyDescent="0.2">
      <c r="J79">
        <v>1.8</v>
      </c>
      <c r="K79">
        <v>69.3</v>
      </c>
      <c r="L79">
        <f t="shared" si="4"/>
        <v>38</v>
      </c>
      <c r="M79">
        <f t="shared" si="3"/>
        <v>2</v>
      </c>
      <c r="N79">
        <v>40</v>
      </c>
    </row>
    <row r="80" spans="10:14" x14ac:dyDescent="0.2">
      <c r="J80">
        <v>1.8</v>
      </c>
      <c r="K80">
        <v>70.2</v>
      </c>
      <c r="L80">
        <f t="shared" si="4"/>
        <v>38</v>
      </c>
      <c r="M80">
        <f t="shared" si="3"/>
        <v>2</v>
      </c>
      <c r="N80">
        <v>44</v>
      </c>
    </row>
    <row r="81" spans="10:14" x14ac:dyDescent="0.2">
      <c r="J81">
        <v>1.8</v>
      </c>
      <c r="K81">
        <v>71.099999999999994</v>
      </c>
      <c r="L81">
        <f t="shared" si="4"/>
        <v>38</v>
      </c>
      <c r="M81">
        <f t="shared" si="3"/>
        <v>2</v>
      </c>
      <c r="N81">
        <v>44</v>
      </c>
    </row>
    <row r="82" spans="10:14" x14ac:dyDescent="0.2">
      <c r="K82">
        <v>72</v>
      </c>
      <c r="L82">
        <f t="shared" si="4"/>
        <v>40</v>
      </c>
      <c r="M82">
        <f t="shared" si="3"/>
        <v>0</v>
      </c>
      <c r="N82">
        <v>44</v>
      </c>
    </row>
    <row r="83" spans="10:14" x14ac:dyDescent="0.2">
      <c r="J83">
        <v>1.8</v>
      </c>
      <c r="K83">
        <v>72.900000000000006</v>
      </c>
      <c r="L83">
        <f t="shared" si="4"/>
        <v>40</v>
      </c>
      <c r="M83">
        <f t="shared" si="3"/>
        <v>2</v>
      </c>
      <c r="N83">
        <v>44</v>
      </c>
    </row>
    <row r="84" spans="10:14" x14ac:dyDescent="0.2">
      <c r="J84">
        <v>1.8</v>
      </c>
      <c r="K84">
        <v>73.8</v>
      </c>
      <c r="L84">
        <f t="shared" si="4"/>
        <v>40</v>
      </c>
      <c r="M84">
        <f t="shared" si="3"/>
        <v>2</v>
      </c>
      <c r="N84">
        <v>44</v>
      </c>
    </row>
    <row r="85" spans="10:14" x14ac:dyDescent="0.2">
      <c r="J85">
        <v>1.8</v>
      </c>
      <c r="K85">
        <v>74.7</v>
      </c>
      <c r="L85">
        <f t="shared" si="4"/>
        <v>40</v>
      </c>
      <c r="M85">
        <f t="shared" si="3"/>
        <v>2</v>
      </c>
      <c r="N85">
        <v>44</v>
      </c>
    </row>
    <row r="86" spans="10:14" x14ac:dyDescent="0.2">
      <c r="K86">
        <v>75.599999999999994</v>
      </c>
      <c r="L86">
        <f t="shared" si="4"/>
        <v>42</v>
      </c>
      <c r="M86">
        <f t="shared" si="3"/>
        <v>0</v>
      </c>
      <c r="N86">
        <v>44</v>
      </c>
    </row>
    <row r="87" spans="10:14" x14ac:dyDescent="0.2">
      <c r="J87">
        <v>1.8</v>
      </c>
      <c r="K87">
        <v>76.5</v>
      </c>
      <c r="L87">
        <f t="shared" si="4"/>
        <v>42</v>
      </c>
      <c r="M87">
        <f t="shared" si="3"/>
        <v>2</v>
      </c>
      <c r="N87">
        <v>48</v>
      </c>
    </row>
    <row r="88" spans="10:14" x14ac:dyDescent="0.2">
      <c r="J88">
        <v>1.8</v>
      </c>
      <c r="K88">
        <v>77.400000000000006</v>
      </c>
      <c r="L88">
        <f t="shared" si="4"/>
        <v>42</v>
      </c>
      <c r="M88">
        <f t="shared" si="3"/>
        <v>2</v>
      </c>
      <c r="N88">
        <v>48</v>
      </c>
    </row>
    <row r="89" spans="10:14" x14ac:dyDescent="0.2">
      <c r="J89">
        <v>1.8</v>
      </c>
      <c r="K89">
        <v>78.3</v>
      </c>
      <c r="L89">
        <f t="shared" si="4"/>
        <v>42</v>
      </c>
      <c r="M89">
        <f t="shared" si="3"/>
        <v>2</v>
      </c>
      <c r="N89">
        <v>48</v>
      </c>
    </row>
    <row r="90" spans="10:14" x14ac:dyDescent="0.2">
      <c r="K90">
        <v>79.2</v>
      </c>
      <c r="L90">
        <f t="shared" si="4"/>
        <v>44</v>
      </c>
      <c r="M90">
        <f t="shared" si="3"/>
        <v>0</v>
      </c>
      <c r="N90">
        <v>48</v>
      </c>
    </row>
    <row r="91" spans="10:14" x14ac:dyDescent="0.2">
      <c r="J91">
        <v>1.8</v>
      </c>
      <c r="K91">
        <v>80.099999999999994</v>
      </c>
      <c r="L91">
        <f t="shared" si="4"/>
        <v>44</v>
      </c>
      <c r="M91">
        <f t="shared" si="3"/>
        <v>2</v>
      </c>
      <c r="N91">
        <v>48</v>
      </c>
    </row>
    <row r="92" spans="10:14" x14ac:dyDescent="0.2">
      <c r="J92">
        <v>1.8</v>
      </c>
      <c r="K92">
        <v>81</v>
      </c>
      <c r="L92">
        <f t="shared" si="4"/>
        <v>44</v>
      </c>
      <c r="M92">
        <f t="shared" si="3"/>
        <v>2</v>
      </c>
      <c r="N92">
        <v>48</v>
      </c>
    </row>
    <row r="93" spans="10:14" x14ac:dyDescent="0.2">
      <c r="J93">
        <v>1.8</v>
      </c>
      <c r="K93">
        <v>81.900000000000006</v>
      </c>
      <c r="L93">
        <f t="shared" si="4"/>
        <v>44</v>
      </c>
      <c r="M93">
        <f t="shared" si="3"/>
        <v>2</v>
      </c>
      <c r="N93">
        <v>48</v>
      </c>
    </row>
    <row r="94" spans="10:14" x14ac:dyDescent="0.2">
      <c r="K94">
        <v>82.8</v>
      </c>
      <c r="L94">
        <f t="shared" si="4"/>
        <v>46</v>
      </c>
      <c r="M94">
        <f t="shared" si="3"/>
        <v>0</v>
      </c>
      <c r="N94">
        <v>52</v>
      </c>
    </row>
    <row r="95" spans="10:14" x14ac:dyDescent="0.2">
      <c r="J95">
        <v>1.8</v>
      </c>
      <c r="K95">
        <v>83.7</v>
      </c>
      <c r="L95">
        <f t="shared" si="4"/>
        <v>46</v>
      </c>
      <c r="M95">
        <f t="shared" si="3"/>
        <v>2</v>
      </c>
      <c r="N95">
        <v>52</v>
      </c>
    </row>
    <row r="96" spans="10:14" x14ac:dyDescent="0.2">
      <c r="J96">
        <v>1.8</v>
      </c>
      <c r="K96">
        <v>84.6</v>
      </c>
      <c r="L96">
        <f t="shared" si="4"/>
        <v>46</v>
      </c>
      <c r="M96">
        <f t="shared" si="3"/>
        <v>2</v>
      </c>
      <c r="N96">
        <v>52</v>
      </c>
    </row>
    <row r="97" spans="10:14" x14ac:dyDescent="0.2">
      <c r="J97">
        <v>1.8</v>
      </c>
      <c r="K97">
        <v>85.5</v>
      </c>
      <c r="L97">
        <f t="shared" si="4"/>
        <v>46</v>
      </c>
      <c r="M97">
        <f t="shared" si="3"/>
        <v>2</v>
      </c>
      <c r="N97">
        <v>52</v>
      </c>
    </row>
    <row r="98" spans="10:14" x14ac:dyDescent="0.2">
      <c r="K98">
        <v>86.4</v>
      </c>
      <c r="L98">
        <f t="shared" si="4"/>
        <v>48</v>
      </c>
      <c r="M98">
        <f t="shared" si="3"/>
        <v>0</v>
      </c>
      <c r="N98">
        <v>52</v>
      </c>
    </row>
    <row r="99" spans="10:14" x14ac:dyDescent="0.2">
      <c r="J99">
        <v>1.8</v>
      </c>
      <c r="K99">
        <v>87.3</v>
      </c>
      <c r="L99">
        <f t="shared" si="4"/>
        <v>48</v>
      </c>
      <c r="M99">
        <f t="shared" si="3"/>
        <v>2</v>
      </c>
      <c r="N99">
        <v>52</v>
      </c>
    </row>
    <row r="100" spans="10:14" x14ac:dyDescent="0.2">
      <c r="J100">
        <v>1.8</v>
      </c>
      <c r="K100">
        <v>88.2</v>
      </c>
      <c r="L100">
        <f t="shared" si="4"/>
        <v>48</v>
      </c>
      <c r="M100">
        <f t="shared" si="3"/>
        <v>2</v>
      </c>
      <c r="N100">
        <v>52</v>
      </c>
    </row>
    <row r="101" spans="10:14" x14ac:dyDescent="0.2">
      <c r="J101">
        <v>1.8</v>
      </c>
      <c r="K101">
        <v>89.1</v>
      </c>
      <c r="L101">
        <f t="shared" si="4"/>
        <v>48</v>
      </c>
      <c r="M101">
        <f t="shared" si="3"/>
        <v>2</v>
      </c>
      <c r="N101">
        <v>56</v>
      </c>
    </row>
    <row r="102" spans="10:14" x14ac:dyDescent="0.2">
      <c r="K102">
        <v>90</v>
      </c>
      <c r="L102">
        <f t="shared" si="4"/>
        <v>50</v>
      </c>
      <c r="M102">
        <f t="shared" si="3"/>
        <v>0</v>
      </c>
      <c r="N102">
        <v>56</v>
      </c>
    </row>
    <row r="103" spans="10:14" x14ac:dyDescent="0.2">
      <c r="J103">
        <v>1.8</v>
      </c>
      <c r="K103">
        <v>90.9</v>
      </c>
      <c r="L103">
        <f t="shared" si="4"/>
        <v>50</v>
      </c>
      <c r="M103">
        <f t="shared" si="3"/>
        <v>2</v>
      </c>
      <c r="N103">
        <v>56</v>
      </c>
    </row>
    <row r="104" spans="10:14" x14ac:dyDescent="0.2">
      <c r="J104">
        <v>1.8</v>
      </c>
      <c r="K104">
        <v>91.8</v>
      </c>
      <c r="L104">
        <f t="shared" si="4"/>
        <v>50</v>
      </c>
      <c r="M104">
        <f t="shared" si="3"/>
        <v>2</v>
      </c>
      <c r="N104">
        <v>56</v>
      </c>
    </row>
    <row r="105" spans="10:14" x14ac:dyDescent="0.2">
      <c r="J105">
        <v>1.8</v>
      </c>
      <c r="K105">
        <v>92.7</v>
      </c>
      <c r="L105">
        <f t="shared" si="4"/>
        <v>50</v>
      </c>
      <c r="M105">
        <f t="shared" si="3"/>
        <v>2</v>
      </c>
      <c r="N105">
        <v>56</v>
      </c>
    </row>
    <row r="106" spans="10:14" x14ac:dyDescent="0.2">
      <c r="K106">
        <v>93.6</v>
      </c>
      <c r="L106">
        <f t="shared" si="4"/>
        <v>52</v>
      </c>
      <c r="M106">
        <f t="shared" si="3"/>
        <v>0</v>
      </c>
      <c r="N106">
        <v>56</v>
      </c>
    </row>
    <row r="107" spans="10:14" x14ac:dyDescent="0.2">
      <c r="J107">
        <v>1.8</v>
      </c>
      <c r="K107">
        <v>94.5</v>
      </c>
      <c r="L107">
        <f t="shared" si="4"/>
        <v>52</v>
      </c>
      <c r="M107">
        <f t="shared" si="3"/>
        <v>2</v>
      </c>
      <c r="N107">
        <v>56</v>
      </c>
    </row>
    <row r="108" spans="10:14" x14ac:dyDescent="0.2">
      <c r="J108">
        <v>1.8</v>
      </c>
      <c r="K108">
        <v>95.4</v>
      </c>
      <c r="L108">
        <f t="shared" si="4"/>
        <v>52</v>
      </c>
      <c r="M108">
        <f t="shared" si="3"/>
        <v>2</v>
      </c>
      <c r="N108">
        <v>60</v>
      </c>
    </row>
    <row r="109" spans="10:14" x14ac:dyDescent="0.2">
      <c r="J109">
        <v>1.8</v>
      </c>
      <c r="K109">
        <v>96.3</v>
      </c>
      <c r="L109">
        <f t="shared" si="4"/>
        <v>52</v>
      </c>
      <c r="M109">
        <f t="shared" si="3"/>
        <v>2</v>
      </c>
      <c r="N109">
        <v>60</v>
      </c>
    </row>
    <row r="110" spans="10:14" x14ac:dyDescent="0.2">
      <c r="K110">
        <v>97.2</v>
      </c>
      <c r="L110">
        <f t="shared" si="4"/>
        <v>54</v>
      </c>
      <c r="M110">
        <f t="shared" si="3"/>
        <v>0</v>
      </c>
      <c r="N110">
        <v>60</v>
      </c>
    </row>
    <row r="111" spans="10:14" x14ac:dyDescent="0.2">
      <c r="J111">
        <v>1.8</v>
      </c>
      <c r="K111">
        <v>98.1</v>
      </c>
      <c r="L111">
        <f t="shared" si="4"/>
        <v>54</v>
      </c>
      <c r="M111">
        <f t="shared" si="3"/>
        <v>2</v>
      </c>
      <c r="N111">
        <v>60</v>
      </c>
    </row>
    <row r="112" spans="10:14" x14ac:dyDescent="0.2">
      <c r="J112">
        <v>1.8</v>
      </c>
      <c r="K112">
        <v>99</v>
      </c>
      <c r="L112">
        <f t="shared" si="4"/>
        <v>54</v>
      </c>
      <c r="M112">
        <f t="shared" si="3"/>
        <v>2</v>
      </c>
      <c r="N112">
        <v>60</v>
      </c>
    </row>
    <row r="113" spans="10:14" x14ac:dyDescent="0.2">
      <c r="J113">
        <v>1.8</v>
      </c>
      <c r="K113">
        <v>99.9</v>
      </c>
      <c r="L113">
        <f t="shared" si="4"/>
        <v>54</v>
      </c>
      <c r="M113">
        <f t="shared" si="3"/>
        <v>2</v>
      </c>
      <c r="N113">
        <v>60</v>
      </c>
    </row>
    <row r="114" spans="10:14" x14ac:dyDescent="0.2">
      <c r="K114">
        <v>100.8</v>
      </c>
      <c r="L114">
        <f t="shared" si="4"/>
        <v>56</v>
      </c>
      <c r="M114">
        <f t="shared" si="3"/>
        <v>0</v>
      </c>
      <c r="N114">
        <v>60</v>
      </c>
    </row>
  </sheetData>
  <mergeCells count="1">
    <mergeCell ref="K1:M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 Summary</vt:lpstr>
      <vt:lpstr>Quote</vt:lpstr>
      <vt:lpstr>PRICE LIST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Gleadell</dc:creator>
  <cp:lastModifiedBy>Daniel Price</cp:lastModifiedBy>
  <cp:lastPrinted>2025-11-05T17:06:35Z</cp:lastPrinted>
  <dcterms:created xsi:type="dcterms:W3CDTF">2025-06-09T12:03:59Z</dcterms:created>
  <dcterms:modified xsi:type="dcterms:W3CDTF">2025-11-10T11:44:53Z</dcterms:modified>
</cp:coreProperties>
</file>